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6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7.xml" ContentType="application/vnd.openxmlformats-officedocument.drawing+xml"/>
  <Override PartName="/xl/ctrlProps/ctrlProp20.xml" ContentType="application/vnd.ms-excel.controlproperties+xml"/>
  <Override PartName="/xl/ctrlProps/ctrlProp21.xml" ContentType="application/vnd.ms-excel.controlpropertie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 codeName="{DD97A8EA-9A9A-E61F-A557-7D5A7D7259C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odarisa-my.sharepoint.com/personal/andrew_puretradeafrica_com/Documents/Desktop/"/>
    </mc:Choice>
  </mc:AlternateContent>
  <xr:revisionPtr revIDLastSave="750" documentId="13_ncr:1_{0D105066-2DC9-461F-91F8-8E30A107EA92}" xr6:coauthVersionLast="47" xr6:coauthVersionMax="47" xr10:uidLastSave="{260215DF-E710-43E3-B355-F4721BC20493}"/>
  <bookViews>
    <workbookView xWindow="-23148" yWindow="-108" windowWidth="23256" windowHeight="12456" firstSheet="1" activeTab="5" xr2:uid="{61BB0276-76D3-4D2D-A156-CDD967235CA9}"/>
  </bookViews>
  <sheets>
    <sheet name="Overview" sheetId="1" r:id="rId1"/>
    <sheet name="Stock Cost" sheetId="2" r:id="rId2"/>
    <sheet name="Transport Cost" sheetId="3" r:id="rId3"/>
    <sheet name="Ad Hoc Cost" sheetId="4" r:id="rId4"/>
    <sheet name="Sales Tbls - One Prod" sheetId="7" r:id="rId5"/>
    <sheet name="Cash Flow" sheetId="6" r:id="rId6"/>
    <sheet name="Quote_sgl" sheetId="16" r:id="rId7"/>
    <sheet name="Quo (Sgl) Prod" sheetId="15" r:id="rId8"/>
    <sheet name="Sheet4" sheetId="29" r:id="rId9"/>
    <sheet name="Data Lists" sheetId="8" r:id="rId10"/>
    <sheet name="Data Validation" sheetId="13" r:id="rId11"/>
    <sheet name="Sheet1" sheetId="31" r:id="rId12"/>
    <sheet name="Sheet3" sheetId="33" r:id="rId13"/>
  </sheets>
  <functionGroups builtInGroupCount="19"/>
  <definedNames>
    <definedName name="_xleta.CONCAT" hidden="1" xlm="1">#NAME?</definedName>
    <definedName name="_xleta.IF" hidden="1" xlm="1">#NAME?</definedName>
    <definedName name="Ad_hoc_costs">ad_hoc_types[Ad Hoc Costs]</definedName>
    <definedName name="ad_hoc_costs_all">ad_hoc_types[Ad Hoc Costs]</definedName>
    <definedName name="Ad_hoc_costs_mult">ad_hoc_types[Ad Hoc Costs]</definedName>
    <definedName name="ad_hoc_costs_mult_all">ad_hoc_types[Ad Hoc Costs]</definedName>
    <definedName name="Cities">Table38[City Name]</definedName>
    <definedName name="Client">Table19[Client Name]</definedName>
    <definedName name="countries">Table35[Country Name]</definedName>
    <definedName name="currency">currency_tbl[Currency]</definedName>
    <definedName name="currency_mult">currency_tbl[Currency]</definedName>
    <definedName name="deliv_loc_list">deilv_location[Delivery Location]</definedName>
    <definedName name="delive_mult">deilv_location[Delivery Location]</definedName>
    <definedName name="ExternalData_1" localSheetId="4" hidden="1">'Sales Tbls - One Prod'!$I$7:$Q$10</definedName>
    <definedName name="ExternalData_2" localSheetId="6" hidden="1">Quote_sgl!$A$1:$G$2</definedName>
    <definedName name="ExternalData_3" localSheetId="6" hidden="1">Quote_sgl!#REF!</definedName>
    <definedName name="ExternalData_4" localSheetId="6" hidden="1">Quote_sgl!#REF!</definedName>
    <definedName name="ExternalData_5" localSheetId="6" hidden="1">Quote_sgl!#REF!</definedName>
    <definedName name="ExternalData_6" localSheetId="6" hidden="1">Quote_sgl!#REF!</definedName>
    <definedName name="ExternalData_7" localSheetId="6" hidden="1">Quote_sgl!#REF!</definedName>
    <definedName name="INCO_list">INCO_terms[INCO Terms]</definedName>
    <definedName name="Inco_mult">INCO_terms[INCO Terms]</definedName>
    <definedName name="Locations">Table33[Consignee Location]</definedName>
    <definedName name="month_del">'Data Lists'!$W$5:$W$20</definedName>
    <definedName name="pack">Table34[Type]</definedName>
    <definedName name="_xlnm.Print_Area" localSheetId="7">'Quo (Sgl) Prod'!$A$1:$G$49</definedName>
    <definedName name="Product">Table22[Product Name]</definedName>
    <definedName name="Quote_Choice">Table25[Quote Choice]</definedName>
    <definedName name="sales_mult">sales_rep[Sales Rep]</definedName>
    <definedName name="sales_rep_list">sales_rep[Sales Rep]</definedName>
    <definedName name="transp">Table36[Transporter]</definedName>
    <definedName name="two_dig">Table24[2-Digit Code]</definedName>
    <definedName name="uom_list">uom_type[UoM Type]</definedName>
    <definedName name="uom_mult">uom_type[UoM Type]</definedName>
    <definedName name="valuevx">42.314159</definedName>
    <definedName name="yn">Table28[YN]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3" l="1"/>
  <c r="F3" i="33"/>
  <c r="E3" i="33"/>
  <c r="D3" i="33"/>
  <c r="C3" i="33"/>
  <c r="B3" i="33"/>
  <c r="L13" i="1" l="1"/>
  <c r="P13" i="1" s="1"/>
  <c r="J13" i="1"/>
  <c r="N13" i="1" s="1"/>
  <c r="V20" i="1" a="1"/>
  <c r="V20" i="1" s="1"/>
  <c r="T20" i="1"/>
  <c r="C27" i="3" a="1"/>
  <c r="C27" i="3" s="1"/>
  <c r="P9" i="1"/>
  <c r="P11" i="1"/>
  <c r="N11" i="1"/>
  <c r="N9" i="1"/>
  <c r="J11" i="1"/>
  <c r="J9" i="1"/>
  <c r="L9" i="1"/>
  <c r="S20" i="1"/>
  <c r="J19" i="1"/>
  <c r="L11" i="1"/>
  <c r="L11" i="7"/>
  <c r="M11" i="7"/>
  <c r="Q11" i="7"/>
  <c r="N9" i="7"/>
  <c r="R9" i="7" s="1"/>
  <c r="S9" i="7" s="1"/>
  <c r="N10" i="7"/>
  <c r="R10" i="7" s="1"/>
  <c r="S10" i="7" s="1"/>
  <c r="D13" i="1"/>
  <c r="F6" i="2"/>
  <c r="E6" i="2"/>
  <c r="D23" i="1"/>
  <c r="D22" i="1"/>
  <c r="D16" i="1"/>
  <c r="O10" i="7" l="1"/>
  <c r="P10" i="7" s="1"/>
  <c r="O9" i="7"/>
  <c r="P9" i="7" s="1"/>
  <c r="F10" i="13"/>
  <c r="E10" i="13"/>
  <c r="D10" i="13"/>
  <c r="C10" i="13"/>
  <c r="B10" i="13"/>
  <c r="O2" i="13"/>
  <c r="F16" i="15"/>
  <c r="N20" i="6"/>
  <c r="N21" i="6"/>
  <c r="N22" i="6"/>
  <c r="N23" i="6"/>
  <c r="N24" i="6"/>
  <c r="N25" i="6"/>
  <c r="N26" i="6"/>
  <c r="N27" i="6"/>
  <c r="P26" i="6"/>
  <c r="P27" i="6"/>
  <c r="Q26" i="6"/>
  <c r="Q27" i="6"/>
  <c r="R26" i="6"/>
  <c r="R27" i="6"/>
  <c r="S20" i="6"/>
  <c r="S21" i="6"/>
  <c r="S22" i="6"/>
  <c r="S23" i="6"/>
  <c r="S24" i="6"/>
  <c r="S25" i="6"/>
  <c r="S26" i="6"/>
  <c r="S27" i="6"/>
  <c r="T20" i="6"/>
  <c r="T21" i="6"/>
  <c r="T22" i="6"/>
  <c r="T23" i="6"/>
  <c r="T24" i="6"/>
  <c r="T25" i="6"/>
  <c r="T26" i="6"/>
  <c r="T27" i="6"/>
  <c r="U20" i="6"/>
  <c r="U21" i="6"/>
  <c r="U22" i="6"/>
  <c r="U23" i="6"/>
  <c r="U24" i="6"/>
  <c r="U25" i="6"/>
  <c r="U26" i="6"/>
  <c r="U27" i="6"/>
  <c r="V20" i="6"/>
  <c r="V21" i="6"/>
  <c r="V22" i="6"/>
  <c r="V23" i="6"/>
  <c r="V24" i="6"/>
  <c r="V25" i="6"/>
  <c r="V26" i="6"/>
  <c r="V27" i="6"/>
  <c r="W26" i="6"/>
  <c r="AB26" i="6" s="1"/>
  <c r="W27" i="6"/>
  <c r="X27" i="6" s="1"/>
  <c r="AC20" i="6"/>
  <c r="AG20" i="6" s="1"/>
  <c r="AC21" i="6"/>
  <c r="AH21" i="6" s="1"/>
  <c r="AC22" i="6"/>
  <c r="AG22" i="6" s="1"/>
  <c r="AC23" i="6"/>
  <c r="AG23" i="6" s="1"/>
  <c r="AC24" i="6"/>
  <c r="AH24" i="6" s="1"/>
  <c r="AC25" i="6"/>
  <c r="AG25" i="6" s="1"/>
  <c r="AC26" i="6"/>
  <c r="AH26" i="6" s="1"/>
  <c r="AC27" i="6"/>
  <c r="AH27" i="6" s="1"/>
  <c r="AD20" i="6"/>
  <c r="AE20" i="6" s="1"/>
  <c r="AD21" i="6"/>
  <c r="AF21" i="6" s="1"/>
  <c r="AD22" i="6"/>
  <c r="AE22" i="6" s="1"/>
  <c r="AD23" i="6"/>
  <c r="AF23" i="6" s="1"/>
  <c r="AD24" i="6"/>
  <c r="AE24" i="6" s="1"/>
  <c r="AD25" i="6"/>
  <c r="AF25" i="6" s="1"/>
  <c r="AD26" i="6"/>
  <c r="AF26" i="6" s="1"/>
  <c r="AD27" i="6"/>
  <c r="AF27" i="6" s="1"/>
  <c r="R9" i="6"/>
  <c r="R10" i="6"/>
  <c r="R11" i="6"/>
  <c r="R12" i="6"/>
  <c r="R13" i="6"/>
  <c r="R14" i="6"/>
  <c r="S9" i="6"/>
  <c r="S10" i="6"/>
  <c r="S11" i="6"/>
  <c r="S12" i="6"/>
  <c r="S13" i="6"/>
  <c r="S14" i="6"/>
  <c r="T9" i="6"/>
  <c r="T10" i="6"/>
  <c r="T11" i="6"/>
  <c r="T12" i="6"/>
  <c r="T13" i="6"/>
  <c r="T14" i="6"/>
  <c r="U9" i="6"/>
  <c r="U10" i="6"/>
  <c r="U11" i="6"/>
  <c r="U12" i="6"/>
  <c r="U13" i="6"/>
  <c r="U14" i="6"/>
  <c r="V9" i="6"/>
  <c r="W9" i="6" s="1"/>
  <c r="AD9" i="6" s="1"/>
  <c r="V10" i="6"/>
  <c r="W10" i="6" s="1"/>
  <c r="AD10" i="6" s="1"/>
  <c r="V11" i="6"/>
  <c r="W11" i="6" s="1"/>
  <c r="AD11" i="6" s="1"/>
  <c r="V12" i="6"/>
  <c r="W12" i="6" s="1"/>
  <c r="AD12" i="6" s="1"/>
  <c r="V13" i="6"/>
  <c r="W13" i="6" s="1"/>
  <c r="AD13" i="6" s="1"/>
  <c r="V14" i="6"/>
  <c r="W14" i="6" s="1"/>
  <c r="AD14" i="6" s="1"/>
  <c r="Y9" i="6"/>
  <c r="AN9" i="6" s="1"/>
  <c r="Y10" i="6"/>
  <c r="AK10" i="6" s="1"/>
  <c r="Y11" i="6"/>
  <c r="AS11" i="6" s="1"/>
  <c r="Y12" i="6"/>
  <c r="AK12" i="6" s="1"/>
  <c r="Y13" i="6"/>
  <c r="AN13" i="6" s="1"/>
  <c r="Y14" i="6"/>
  <c r="AS14" i="6" s="1"/>
  <c r="Z9" i="6"/>
  <c r="Z10" i="6"/>
  <c r="Z11" i="6"/>
  <c r="Z12" i="6"/>
  <c r="Z13" i="6"/>
  <c r="Z14" i="6"/>
  <c r="AA9" i="6"/>
  <c r="AA10" i="6"/>
  <c r="AA11" i="6"/>
  <c r="AA12" i="6"/>
  <c r="AA13" i="6"/>
  <c r="AA14" i="6"/>
  <c r="AB9" i="6"/>
  <c r="AB10" i="6"/>
  <c r="AB11" i="6"/>
  <c r="AB12" i="6"/>
  <c r="AB13" i="6"/>
  <c r="AB14" i="6"/>
  <c r="AC9" i="6"/>
  <c r="AC10" i="6"/>
  <c r="AC11" i="6"/>
  <c r="AC12" i="6"/>
  <c r="AC13" i="6"/>
  <c r="AC14" i="6"/>
  <c r="AH9" i="6"/>
  <c r="BC9" i="6" s="1"/>
  <c r="AH10" i="6"/>
  <c r="AT10" i="6" s="1"/>
  <c r="AH11" i="6"/>
  <c r="BC11" i="6" s="1"/>
  <c r="AH12" i="6"/>
  <c r="AT12" i="6" s="1"/>
  <c r="AH13" i="6"/>
  <c r="BC13" i="6" s="1"/>
  <c r="AH14" i="6"/>
  <c r="AT14" i="6" s="1"/>
  <c r="AQ9" i="6"/>
  <c r="AQ10" i="6"/>
  <c r="AQ11" i="6"/>
  <c r="AQ12" i="6"/>
  <c r="AQ13" i="6"/>
  <c r="AQ14" i="6"/>
  <c r="AR9" i="6"/>
  <c r="AR10" i="6"/>
  <c r="AR11" i="6"/>
  <c r="AR12" i="6"/>
  <c r="AR13" i="6"/>
  <c r="AR14" i="6"/>
  <c r="AZ9" i="6"/>
  <c r="AZ10" i="6"/>
  <c r="AZ11" i="6"/>
  <c r="AZ12" i="6"/>
  <c r="AZ13" i="6"/>
  <c r="AZ14" i="6"/>
  <c r="BA9" i="6"/>
  <c r="BA10" i="6"/>
  <c r="BA11" i="6"/>
  <c r="BA12" i="6"/>
  <c r="BA13" i="6"/>
  <c r="BA14" i="6"/>
  <c r="F15" i="13"/>
  <c r="F14" i="13"/>
  <c r="C15" i="13"/>
  <c r="C14" i="13"/>
  <c r="B15" i="13"/>
  <c r="B14" i="13"/>
  <c r="A15" i="13"/>
  <c r="A14" i="13"/>
  <c r="D14" i="13" l="1"/>
  <c r="D15" i="13"/>
  <c r="AF14" i="6"/>
  <c r="AG14" i="6" s="1"/>
  <c r="BB14" i="6" s="1"/>
  <c r="P25" i="6"/>
  <c r="W25" i="6" s="1"/>
  <c r="X25" i="6" s="1"/>
  <c r="Z25" i="6" s="1"/>
  <c r="Q25" i="6"/>
  <c r="R25" i="6"/>
  <c r="Q24" i="6"/>
  <c r="P24" i="6"/>
  <c r="W24" i="6" s="1"/>
  <c r="AB24" i="6" s="1"/>
  <c r="R24" i="6"/>
  <c r="R23" i="6"/>
  <c r="Q23" i="6"/>
  <c r="P23" i="6"/>
  <c r="W23" i="6" s="1"/>
  <c r="X23" i="6" s="1"/>
  <c r="Z23" i="6" s="1"/>
  <c r="Q22" i="6"/>
  <c r="R22" i="6"/>
  <c r="P22" i="6"/>
  <c r="W22" i="6" s="1"/>
  <c r="X22" i="6" s="1"/>
  <c r="Z22" i="6" s="1"/>
  <c r="P21" i="6"/>
  <c r="W21" i="6" s="1"/>
  <c r="X21" i="6" s="1"/>
  <c r="Z21" i="6" s="1"/>
  <c r="Q21" i="6"/>
  <c r="R21" i="6"/>
  <c r="Q20" i="6"/>
  <c r="R20" i="6"/>
  <c r="P20" i="6"/>
  <c r="W20" i="6" s="1"/>
  <c r="X20" i="6" s="1"/>
  <c r="Z20" i="6" s="1"/>
  <c r="AF12" i="6"/>
  <c r="AG12" i="6" s="1"/>
  <c r="BB12" i="6" s="1"/>
  <c r="AF9" i="6"/>
  <c r="AG9" i="6" s="1"/>
  <c r="BB9" i="6" s="1"/>
  <c r="AG21" i="6"/>
  <c r="AH23" i="6"/>
  <c r="AE25" i="6"/>
  <c r="AF11" i="6"/>
  <c r="AG11" i="6" s="1"/>
  <c r="BB11" i="6" s="1"/>
  <c r="AE27" i="6"/>
  <c r="AG27" i="6"/>
  <c r="AB27" i="6"/>
  <c r="AA27" i="6"/>
  <c r="AE26" i="6"/>
  <c r="AG24" i="6"/>
  <c r="AF22" i="6"/>
  <c r="AH22" i="6"/>
  <c r="AF20" i="6"/>
  <c r="BC14" i="6"/>
  <c r="AI14" i="6" s="1"/>
  <c r="AJ14" i="6" s="1"/>
  <c r="AU14" i="6" s="1"/>
  <c r="AN14" i="6"/>
  <c r="AK14" i="6"/>
  <c r="AV14" i="6" s="1"/>
  <c r="AT13" i="6"/>
  <c r="AI13" i="6" s="1"/>
  <c r="AJ13" i="6" s="1"/>
  <c r="AU13" i="6" s="1"/>
  <c r="BC12" i="6"/>
  <c r="AI12" i="6" s="1"/>
  <c r="AJ12" i="6" s="1"/>
  <c r="BD12" i="6" s="1"/>
  <c r="BC10" i="6"/>
  <c r="AI10" i="6" s="1"/>
  <c r="AJ10" i="6" s="1"/>
  <c r="BD10" i="6" s="1"/>
  <c r="AN10" i="6"/>
  <c r="AX10" i="6" s="1"/>
  <c r="AH25" i="6"/>
  <c r="BG13" i="6"/>
  <c r="AX13" i="6"/>
  <c r="AK13" i="6"/>
  <c r="AS13" i="6"/>
  <c r="AF13" i="6"/>
  <c r="AG13" i="6" s="1"/>
  <c r="BB13" i="6" s="1"/>
  <c r="BE12" i="6"/>
  <c r="AV12" i="6"/>
  <c r="AS12" i="6"/>
  <c r="AN12" i="6"/>
  <c r="AT11" i="6"/>
  <c r="AI11" i="6" s="1"/>
  <c r="AJ11" i="6" s="1"/>
  <c r="AU11" i="6" s="1"/>
  <c r="AN11" i="6"/>
  <c r="AK11" i="6"/>
  <c r="AV10" i="6"/>
  <c r="BE10" i="6"/>
  <c r="AF10" i="6"/>
  <c r="AG10" i="6" s="1"/>
  <c r="BB10" i="6" s="1"/>
  <c r="AS10" i="6"/>
  <c r="BG9" i="6"/>
  <c r="AX9" i="6"/>
  <c r="AK9" i="6"/>
  <c r="AS9" i="6"/>
  <c r="AT9" i="6"/>
  <c r="AI9" i="6" s="1"/>
  <c r="AJ9" i="6" s="1"/>
  <c r="BD9" i="6" s="1"/>
  <c r="Y27" i="6"/>
  <c r="Z27" i="6"/>
  <c r="AE23" i="6"/>
  <c r="AE21" i="6"/>
  <c r="AH20" i="6"/>
  <c r="AF24" i="6"/>
  <c r="AG26" i="6"/>
  <c r="AA26" i="6"/>
  <c r="X26" i="6"/>
  <c r="AB25" i="6" l="1"/>
  <c r="Y25" i="6"/>
  <c r="AA25" i="6"/>
  <c r="X24" i="6"/>
  <c r="Y24" i="6" s="1"/>
  <c r="AA24" i="6"/>
  <c r="AA23" i="6"/>
  <c r="AB23" i="6"/>
  <c r="Y23" i="6"/>
  <c r="AB22" i="6"/>
  <c r="Y22" i="6"/>
  <c r="AA22" i="6"/>
  <c r="AA21" i="6"/>
  <c r="AB21" i="6"/>
  <c r="Y21" i="6"/>
  <c r="AA20" i="6"/>
  <c r="Y20" i="6"/>
  <c r="AB20" i="6"/>
  <c r="AO13" i="6"/>
  <c r="AP13" i="6" s="1"/>
  <c r="BH13" i="6" s="1"/>
  <c r="AL10" i="6"/>
  <c r="AM10" i="6" s="1"/>
  <c r="BF10" i="6" s="1"/>
  <c r="AL12" i="6"/>
  <c r="AM12" i="6" s="1"/>
  <c r="BF12" i="6" s="1"/>
  <c r="AO9" i="6"/>
  <c r="AP9" i="6" s="1"/>
  <c r="BH9" i="6" s="1"/>
  <c r="BG10" i="6"/>
  <c r="AO10" i="6" s="1"/>
  <c r="AP10" i="6" s="1"/>
  <c r="BH10" i="6" s="1"/>
  <c r="AX14" i="6"/>
  <c r="BG14" i="6"/>
  <c r="BE14" i="6"/>
  <c r="AL14" i="6" s="1"/>
  <c r="AM14" i="6" s="1"/>
  <c r="BF14" i="6" s="1"/>
  <c r="BD14" i="6"/>
  <c r="BD13" i="6"/>
  <c r="BE13" i="6"/>
  <c r="AV13" i="6"/>
  <c r="AU12" i="6"/>
  <c r="BG12" i="6"/>
  <c r="AX12" i="6"/>
  <c r="AV11" i="6"/>
  <c r="BE11" i="6"/>
  <c r="BD11" i="6"/>
  <c r="BG11" i="6"/>
  <c r="AX11" i="6"/>
  <c r="AU10" i="6"/>
  <c r="AU9" i="6"/>
  <c r="AV9" i="6"/>
  <c r="BE9" i="6"/>
  <c r="Y26" i="6"/>
  <c r="Z26" i="6"/>
  <c r="C6" i="4"/>
  <c r="D6" i="3"/>
  <c r="AO12" i="6" l="1"/>
  <c r="AP12" i="6" s="1"/>
  <c r="BH12" i="6" s="1"/>
  <c r="AO14" i="6"/>
  <c r="AP14" i="6" s="1"/>
  <c r="AY14" i="6" s="1"/>
  <c r="AY13" i="6"/>
  <c r="Z24" i="6"/>
  <c r="AO11" i="6"/>
  <c r="AP11" i="6" s="1"/>
  <c r="AY11" i="6" s="1"/>
  <c r="AL11" i="6"/>
  <c r="AM11" i="6" s="1"/>
  <c r="BF11" i="6" s="1"/>
  <c r="AW10" i="6"/>
  <c r="AL13" i="6"/>
  <c r="AM13" i="6" s="1"/>
  <c r="AW13" i="6" s="1"/>
  <c r="AW12" i="6"/>
  <c r="AY9" i="6"/>
  <c r="AL9" i="6"/>
  <c r="AM9" i="6" s="1"/>
  <c r="BF9" i="6" s="1"/>
  <c r="AY10" i="6"/>
  <c r="AW14" i="6"/>
  <c r="AY12" i="6" l="1"/>
  <c r="BH14" i="6"/>
  <c r="AW11" i="6"/>
  <c r="BF13" i="6"/>
  <c r="BH11" i="6"/>
  <c r="AW9" i="6"/>
  <c r="L6" i="4" l="1"/>
  <c r="K6" i="4"/>
  <c r="J6" i="4"/>
  <c r="P6" i="3"/>
  <c r="O6" i="3"/>
  <c r="R6" i="3" s="1"/>
  <c r="M6" i="3"/>
  <c r="J6" i="3"/>
  <c r="N6" i="3"/>
  <c r="P6" i="2"/>
  <c r="O6" i="2"/>
  <c r="K14" i="13" l="1" a="1"/>
  <c r="K14" i="13" s="1"/>
  <c r="K15" i="13" a="1"/>
  <c r="K15" i="13" s="1"/>
  <c r="S6" i="3"/>
  <c r="T6" i="3"/>
  <c r="Q6" i="3"/>
  <c r="U6" i="3" l="1"/>
  <c r="N6" i="2" l="1"/>
  <c r="M6" i="2"/>
  <c r="R6" i="2" s="1"/>
  <c r="V6" i="2" s="1"/>
  <c r="Q6" i="2"/>
  <c r="U6" i="2" s="1"/>
  <c r="S6" i="2"/>
  <c r="Z4" i="2" a="1"/>
  <c r="Z4" i="2" s="1"/>
  <c r="R7" i="6"/>
  <c r="T7" i="6" s="1"/>
  <c r="R8" i="6"/>
  <c r="T8" i="6" s="1"/>
  <c r="S7" i="6"/>
  <c r="S8" i="6"/>
  <c r="U7" i="6"/>
  <c r="U8" i="6"/>
  <c r="V7" i="6"/>
  <c r="W7" i="6" s="1"/>
  <c r="V8" i="6"/>
  <c r="Y7" i="6"/>
  <c r="Y8" i="6"/>
  <c r="AB8" i="6" s="1"/>
  <c r="Z7" i="6"/>
  <c r="Z8" i="6"/>
  <c r="AA7" i="6"/>
  <c r="AA8" i="6"/>
  <c r="AH7" i="6"/>
  <c r="AT7" i="6" s="1"/>
  <c r="AH8" i="6"/>
  <c r="BC8" i="6" s="1"/>
  <c r="AQ7" i="6"/>
  <c r="AQ8" i="6"/>
  <c r="AR7" i="6"/>
  <c r="AR8" i="6"/>
  <c r="AZ7" i="6"/>
  <c r="AZ8" i="6"/>
  <c r="BA7" i="6"/>
  <c r="BA8" i="6"/>
  <c r="N18" i="6"/>
  <c r="R18" i="6" s="1"/>
  <c r="N19" i="6"/>
  <c r="R19" i="6" s="1"/>
  <c r="P18" i="6"/>
  <c r="W18" i="6" s="1"/>
  <c r="P19" i="6"/>
  <c r="W19" i="6" s="1"/>
  <c r="Q18" i="6"/>
  <c r="Q19" i="6"/>
  <c r="S18" i="6"/>
  <c r="S19" i="6"/>
  <c r="T18" i="6"/>
  <c r="T19" i="6"/>
  <c r="U18" i="6"/>
  <c r="U19" i="6"/>
  <c r="V18" i="6"/>
  <c r="V19" i="6"/>
  <c r="AC18" i="6"/>
  <c r="AG18" i="6" s="1"/>
  <c r="AC19" i="6"/>
  <c r="AH19" i="6" s="1"/>
  <c r="AD18" i="6"/>
  <c r="AE18" i="6" s="1"/>
  <c r="AD19" i="6"/>
  <c r="AF19" i="6" s="1"/>
  <c r="E15" i="15"/>
  <c r="V2" i="8"/>
  <c r="D22" i="15"/>
  <c r="C22" i="15"/>
  <c r="K25" i="15"/>
  <c r="K26" i="15"/>
  <c r="K27" i="15"/>
  <c r="K28" i="15"/>
  <c r="K24" i="15"/>
  <c r="G20" i="8" a="1"/>
  <c r="AK8" i="6" l="1"/>
  <c r="BE8" i="6" s="1"/>
  <c r="AC8" i="6"/>
  <c r="T6" i="2"/>
  <c r="J14" i="13" a="1"/>
  <c r="J14" i="13" s="1"/>
  <c r="J15" i="13" a="1"/>
  <c r="J15" i="13" s="1"/>
  <c r="AA19" i="6"/>
  <c r="A22" i="15"/>
  <c r="W8" i="6"/>
  <c r="AD8" i="6" s="1"/>
  <c r="AF8" i="6"/>
  <c r="AG8" i="6" s="1"/>
  <c r="BB8" i="6" s="1"/>
  <c r="AA18" i="6"/>
  <c r="AN7" i="6"/>
  <c r="BG7" i="6" s="1"/>
  <c r="AK7" i="6"/>
  <c r="AV7" i="6" s="1"/>
  <c r="AC7" i="6"/>
  <c r="AH18" i="6"/>
  <c r="AB7" i="6"/>
  <c r="AF7" i="6"/>
  <c r="AG7" i="6" s="1"/>
  <c r="BB7" i="6" s="1"/>
  <c r="X18" i="6"/>
  <c r="Y18" i="6" s="1"/>
  <c r="X19" i="6"/>
  <c r="Z19" i="6" s="1"/>
  <c r="AF18" i="6"/>
  <c r="AS8" i="6"/>
  <c r="AG19" i="6"/>
  <c r="AT8" i="6"/>
  <c r="AI8" i="6" s="1"/>
  <c r="AJ8" i="6" s="1"/>
  <c r="AS7" i="6"/>
  <c r="AE19" i="6"/>
  <c r="AB18" i="6"/>
  <c r="AN8" i="6"/>
  <c r="BC7" i="6"/>
  <c r="AI7" i="6" s="1"/>
  <c r="AJ7" i="6" s="1"/>
  <c r="BD7" i="6" s="1"/>
  <c r="AD7" i="6"/>
  <c r="AB19" i="6"/>
  <c r="G20" i="8"/>
  <c r="V5" i="8"/>
  <c r="W5" i="8" s="1"/>
  <c r="A19" i="15"/>
  <c r="A34" i="15"/>
  <c r="A36" i="15"/>
  <c r="A35" i="15"/>
  <c r="A48" i="15"/>
  <c r="A47" i="15"/>
  <c r="A46" i="15"/>
  <c r="A45" i="15"/>
  <c r="A44" i="15"/>
  <c r="A43" i="15"/>
  <c r="A42" i="15"/>
  <c r="D42" i="15"/>
  <c r="F6" i="15"/>
  <c r="AV8" i="6" l="1"/>
  <c r="Y19" i="6"/>
  <c r="BE7" i="6"/>
  <c r="AL7" i="6" s="1"/>
  <c r="AM7" i="6" s="1"/>
  <c r="AW7" i="6" s="1"/>
  <c r="AX7" i="6"/>
  <c r="AO7" i="6" s="1"/>
  <c r="AP7" i="6" s="1"/>
  <c r="AY7" i="6" s="1"/>
  <c r="Z18" i="6"/>
  <c r="AL8" i="6"/>
  <c r="AM8" i="6" s="1"/>
  <c r="BF8" i="6" s="1"/>
  <c r="AU8" i="6"/>
  <c r="BD8" i="6"/>
  <c r="AX8" i="6"/>
  <c r="BG8" i="6"/>
  <c r="AU7" i="6"/>
  <c r="V6" i="8"/>
  <c r="W6" i="8" s="1"/>
  <c r="A14" i="15"/>
  <c r="E14" i="15"/>
  <c r="F9" i="15"/>
  <c r="E22" i="15"/>
  <c r="F7" i="15"/>
  <c r="F8" i="15" s="1"/>
  <c r="AO8" i="6" l="1"/>
  <c r="AP8" i="6" s="1"/>
  <c r="BH8" i="6" s="1"/>
  <c r="BF7" i="6"/>
  <c r="BH7" i="6"/>
  <c r="AW8" i="6"/>
  <c r="V7" i="8"/>
  <c r="W7" i="8" s="1"/>
  <c r="H7" i="1"/>
  <c r="B2" i="1" s="1"/>
  <c r="A10" i="13"/>
  <c r="L2" i="13"/>
  <c r="K2" i="13"/>
  <c r="J2" i="13"/>
  <c r="I2" i="13"/>
  <c r="H2" i="13"/>
  <c r="G2" i="13"/>
  <c r="F2" i="13"/>
  <c r="E2" i="13"/>
  <c r="D2" i="13"/>
  <c r="C2" i="13"/>
  <c r="B2" i="13"/>
  <c r="A2" i="13"/>
  <c r="F33" i="6"/>
  <c r="H33" i="6" s="1"/>
  <c r="D33" i="6"/>
  <c r="H32" i="6" s="1"/>
  <c r="AD17" i="6"/>
  <c r="AF17" i="6" s="1"/>
  <c r="AC17" i="6"/>
  <c r="AG17" i="6" s="1"/>
  <c r="V17" i="6"/>
  <c r="U17" i="6"/>
  <c r="T17" i="6"/>
  <c r="S17" i="6"/>
  <c r="N17" i="6"/>
  <c r="BA6" i="6"/>
  <c r="AZ6" i="6"/>
  <c r="AR6" i="6"/>
  <c r="AQ6" i="6"/>
  <c r="AH6" i="6"/>
  <c r="AT6" i="6" s="1"/>
  <c r="AA6" i="6"/>
  <c r="Z6" i="6"/>
  <c r="Y6" i="6"/>
  <c r="V6" i="6"/>
  <c r="R6" i="6"/>
  <c r="G19" i="7"/>
  <c r="K6" i="13" s="1"/>
  <c r="G18" i="7"/>
  <c r="J6" i="13" s="1"/>
  <c r="G17" i="7"/>
  <c r="I6" i="13" s="1"/>
  <c r="G16" i="7"/>
  <c r="H6" i="13" s="1"/>
  <c r="G15" i="7"/>
  <c r="G6" i="13" s="1"/>
  <c r="G14" i="7"/>
  <c r="F6" i="13" s="1"/>
  <c r="G13" i="7"/>
  <c r="G12" i="7"/>
  <c r="D6" i="13" s="1"/>
  <c r="E5" i="7"/>
  <c r="N2" i="13"/>
  <c r="M2" i="13"/>
  <c r="AY8" i="6" l="1"/>
  <c r="W6" i="6"/>
  <c r="AD6" i="6" s="1"/>
  <c r="V8" i="8"/>
  <c r="W8" i="8" s="1"/>
  <c r="AF6" i="6"/>
  <c r="AG6" i="6" s="1"/>
  <c r="BB6" i="6" s="1"/>
  <c r="H37" i="6"/>
  <c r="AH17" i="6"/>
  <c r="BC6" i="6"/>
  <c r="AI6" i="6" s="1"/>
  <c r="AS6" i="6"/>
  <c r="AB6" i="6"/>
  <c r="AK6" i="6"/>
  <c r="AE17" i="6"/>
  <c r="AN6" i="6"/>
  <c r="G10" i="7"/>
  <c r="C6" i="13" s="1"/>
  <c r="E6" i="13"/>
  <c r="E16" i="7"/>
  <c r="G8" i="7"/>
  <c r="E17" i="7"/>
  <c r="E13" i="7"/>
  <c r="N8" i="7" s="1"/>
  <c r="E14" i="7"/>
  <c r="E19" i="7"/>
  <c r="E15" i="7"/>
  <c r="B2" i="7"/>
  <c r="E12" i="7"/>
  <c r="E18" i="7"/>
  <c r="A6" i="13"/>
  <c r="R8" i="7" l="1"/>
  <c r="S8" i="7" s="1"/>
  <c r="O8" i="7"/>
  <c r="P8" i="7" s="1"/>
  <c r="Q17" i="6"/>
  <c r="P17" i="6"/>
  <c r="W17" i="6" s="1"/>
  <c r="X17" i="6" s="1"/>
  <c r="Z17" i="6" s="1"/>
  <c r="H53" i="6" s="1"/>
  <c r="R17" i="6"/>
  <c r="I6" i="4"/>
  <c r="D17" i="4" s="1" a="1"/>
  <c r="D17" i="4" s="1"/>
  <c r="M6" i="4"/>
  <c r="Q6" i="4" s="1"/>
  <c r="O6" i="4"/>
  <c r="H39" i="6"/>
  <c r="H41" i="6" s="1"/>
  <c r="G14" i="13"/>
  <c r="H14" i="13"/>
  <c r="G15" i="13"/>
  <c r="H15" i="13"/>
  <c r="V9" i="8"/>
  <c r="W9" i="8" s="1"/>
  <c r="F22" i="15"/>
  <c r="F37" i="15" s="1"/>
  <c r="F38" i="15" s="1"/>
  <c r="I37" i="6"/>
  <c r="I39" i="6" s="1"/>
  <c r="E10" i="7"/>
  <c r="S6" i="6"/>
  <c r="U6" i="6" s="1"/>
  <c r="H48" i="6" s="1"/>
  <c r="AJ6" i="6"/>
  <c r="BD6" i="6" s="1"/>
  <c r="BE6" i="6"/>
  <c r="AV6" i="6"/>
  <c r="BG6" i="6"/>
  <c r="AX6" i="6"/>
  <c r="B6" i="13"/>
  <c r="G21" i="7"/>
  <c r="N6" i="4" l="1"/>
  <c r="R6" i="4" s="1"/>
  <c r="P6" i="4"/>
  <c r="AB17" i="6"/>
  <c r="H55" i="6" s="1"/>
  <c r="AA17" i="6"/>
  <c r="H56" i="6" s="1"/>
  <c r="L14" i="13" a="1"/>
  <c r="L14" i="13" s="1"/>
  <c r="L15" i="13" a="1"/>
  <c r="L15" i="13" s="1"/>
  <c r="T4" i="4"/>
  <c r="H43" i="6"/>
  <c r="I15" i="13"/>
  <c r="I14" i="13"/>
  <c r="F39" i="15"/>
  <c r="V10" i="8"/>
  <c r="W10" i="8" s="1"/>
  <c r="I33" i="6"/>
  <c r="J37" i="6"/>
  <c r="J39" i="6" s="1"/>
  <c r="I32" i="6"/>
  <c r="AU6" i="6"/>
  <c r="AO6" i="6"/>
  <c r="T6" i="6"/>
  <c r="AC6" i="6" s="1"/>
  <c r="Y17" i="6"/>
  <c r="H54" i="6" s="1"/>
  <c r="AL6" i="6"/>
  <c r="I41" i="6"/>
  <c r="I43" i="6"/>
  <c r="M6" i="13"/>
  <c r="E21" i="7"/>
  <c r="E27" i="7"/>
  <c r="N11" i="7"/>
  <c r="X6" i="6" l="1"/>
  <c r="AE6" i="6" s="1"/>
  <c r="X7" i="6"/>
  <c r="AE7" i="6" s="1"/>
  <c r="X8" i="6"/>
  <c r="AE8" i="6" s="1"/>
  <c r="X9" i="6"/>
  <c r="AE9" i="6" s="1"/>
  <c r="X10" i="6"/>
  <c r="AE10" i="6" s="1"/>
  <c r="X11" i="6"/>
  <c r="AE11" i="6" s="1"/>
  <c r="X12" i="6"/>
  <c r="AE12" i="6" s="1"/>
  <c r="X13" i="6"/>
  <c r="AE13" i="6" s="1"/>
  <c r="X14" i="6"/>
  <c r="AE14" i="6" s="1"/>
  <c r="H51" i="6"/>
  <c r="V11" i="8"/>
  <c r="W11" i="8" s="1"/>
  <c r="K37" i="6"/>
  <c r="L37" i="6" s="1"/>
  <c r="J32" i="6"/>
  <c r="J33" i="6"/>
  <c r="I55" i="6"/>
  <c r="R11" i="7"/>
  <c r="I48" i="6"/>
  <c r="I53" i="6"/>
  <c r="I56" i="6"/>
  <c r="I54" i="6"/>
  <c r="J58" i="6"/>
  <c r="AP6" i="6"/>
  <c r="AY6" i="6" s="1"/>
  <c r="H58" i="6"/>
  <c r="S11" i="7"/>
  <c r="O11" i="7"/>
  <c r="AM6" i="6"/>
  <c r="I49" i="6" s="1"/>
  <c r="J49" i="6"/>
  <c r="J41" i="6"/>
  <c r="J43" i="6"/>
  <c r="J60" i="6" l="1"/>
  <c r="H49" i="6"/>
  <c r="H46" i="6" s="1"/>
  <c r="I46" i="6"/>
  <c r="H60" i="6"/>
  <c r="I60" i="6"/>
  <c r="I58" i="6"/>
  <c r="K39" i="6"/>
  <c r="K41" i="6" s="1"/>
  <c r="V12" i="8"/>
  <c r="W12" i="8" s="1"/>
  <c r="J56" i="6"/>
  <c r="K33" i="6"/>
  <c r="K32" i="6"/>
  <c r="J55" i="6"/>
  <c r="J54" i="6"/>
  <c r="J48" i="6"/>
  <c r="J46" i="6" s="1"/>
  <c r="J53" i="6"/>
  <c r="BH6" i="6"/>
  <c r="I51" i="6"/>
  <c r="AW6" i="6"/>
  <c r="BF6" i="6"/>
  <c r="L32" i="6"/>
  <c r="M37" i="6"/>
  <c r="L39" i="6"/>
  <c r="L33" i="6"/>
  <c r="I70" i="6" l="1"/>
  <c r="H70" i="6"/>
  <c r="H63" i="6"/>
  <c r="H65" i="6" s="1"/>
  <c r="H67" i="6" s="1"/>
  <c r="K48" i="6"/>
  <c r="K58" i="6"/>
  <c r="K49" i="6"/>
  <c r="K60" i="6"/>
  <c r="K43" i="6"/>
  <c r="K56" i="6"/>
  <c r="K54" i="6"/>
  <c r="V13" i="8"/>
  <c r="W13" i="8" s="1"/>
  <c r="K53" i="6"/>
  <c r="K55" i="6"/>
  <c r="J51" i="6"/>
  <c r="J70" i="6" s="1"/>
  <c r="L56" i="6"/>
  <c r="L53" i="6"/>
  <c r="L55" i="6"/>
  <c r="L54" i="6"/>
  <c r="L48" i="6"/>
  <c r="N37" i="6"/>
  <c r="M39" i="6"/>
  <c r="M33" i="6"/>
  <c r="M32" i="6"/>
  <c r="L43" i="6"/>
  <c r="L41" i="6"/>
  <c r="L49" i="6"/>
  <c r="L58" i="6"/>
  <c r="L60" i="6"/>
  <c r="I63" i="6" l="1"/>
  <c r="I65" i="6" s="1"/>
  <c r="I67" i="6" s="1"/>
  <c r="K46" i="6"/>
  <c r="V14" i="8"/>
  <c r="W14" i="8" s="1"/>
  <c r="K51" i="6"/>
  <c r="M54" i="6"/>
  <c r="M53" i="6"/>
  <c r="M56" i="6"/>
  <c r="M55" i="6"/>
  <c r="L46" i="6"/>
  <c r="N39" i="6"/>
  <c r="N32" i="6"/>
  <c r="N33" i="6"/>
  <c r="O37" i="6"/>
  <c r="L51" i="6"/>
  <c r="M48" i="6"/>
  <c r="M43" i="6"/>
  <c r="M41" i="6"/>
  <c r="M49" i="6"/>
  <c r="M58" i="6"/>
  <c r="M60" i="6"/>
  <c r="L70" i="6" l="1"/>
  <c r="K70" i="6"/>
  <c r="J63" i="6"/>
  <c r="K63" i="6" s="1"/>
  <c r="K65" i="6" s="1"/>
  <c r="V15" i="8"/>
  <c r="W15" i="8" s="1"/>
  <c r="N54" i="6"/>
  <c r="N56" i="6"/>
  <c r="N53" i="6"/>
  <c r="N55" i="6"/>
  <c r="M46" i="6"/>
  <c r="N48" i="6"/>
  <c r="O33" i="6"/>
  <c r="O39" i="6"/>
  <c r="O32" i="6"/>
  <c r="P37" i="6"/>
  <c r="M51" i="6"/>
  <c r="N43" i="6"/>
  <c r="N49" i="6"/>
  <c r="N41" i="6"/>
  <c r="N58" i="6"/>
  <c r="N60" i="6"/>
  <c r="M70" i="6" l="1"/>
  <c r="J65" i="6"/>
  <c r="J67" i="6" s="1"/>
  <c r="K67" i="6" s="1"/>
  <c r="V16" i="8"/>
  <c r="W16" i="8" s="1"/>
  <c r="L63" i="6"/>
  <c r="M63" i="6" s="1"/>
  <c r="O54" i="6"/>
  <c r="O56" i="6"/>
  <c r="O53" i="6"/>
  <c r="O55" i="6"/>
  <c r="N51" i="6"/>
  <c r="N46" i="6"/>
  <c r="P32" i="6"/>
  <c r="Q37" i="6"/>
  <c r="P33" i="6"/>
  <c r="P39" i="6"/>
  <c r="O43" i="6"/>
  <c r="O49" i="6"/>
  <c r="O41" i="6"/>
  <c r="O60" i="6"/>
  <c r="O58" i="6"/>
  <c r="O48" i="6"/>
  <c r="N70" i="6" l="1"/>
  <c r="L65" i="6"/>
  <c r="L67" i="6" s="1"/>
  <c r="V17" i="8"/>
  <c r="W17" i="8" s="1"/>
  <c r="P54" i="6"/>
  <c r="P56" i="6"/>
  <c r="P53" i="6"/>
  <c r="P55" i="6"/>
  <c r="O46" i="6"/>
  <c r="P48" i="6"/>
  <c r="O51" i="6"/>
  <c r="R37" i="6"/>
  <c r="Q33" i="6"/>
  <c r="Q32" i="6"/>
  <c r="Q39" i="6"/>
  <c r="P43" i="6"/>
  <c r="P49" i="6"/>
  <c r="P41" i="6"/>
  <c r="P58" i="6"/>
  <c r="P60" i="6"/>
  <c r="N63" i="6"/>
  <c r="M65" i="6"/>
  <c r="O70" i="6" l="1"/>
  <c r="V18" i="8"/>
  <c r="M67" i="6"/>
  <c r="Q54" i="6"/>
  <c r="Q53" i="6"/>
  <c r="Q56" i="6"/>
  <c r="Q55" i="6"/>
  <c r="P46" i="6"/>
  <c r="P51" i="6"/>
  <c r="Q48" i="6"/>
  <c r="Q49" i="6"/>
  <c r="Q43" i="6"/>
  <c r="Q41" i="6"/>
  <c r="Q58" i="6"/>
  <c r="Q60" i="6"/>
  <c r="R33" i="6"/>
  <c r="R32" i="6"/>
  <c r="S37" i="6"/>
  <c r="R39" i="6"/>
  <c r="N65" i="6"/>
  <c r="O63" i="6"/>
  <c r="P70" i="6" l="1"/>
  <c r="V19" i="8"/>
  <c r="W18" i="8"/>
  <c r="N67" i="6"/>
  <c r="R53" i="6"/>
  <c r="R56" i="6"/>
  <c r="R54" i="6"/>
  <c r="R55" i="6"/>
  <c r="R48" i="6"/>
  <c r="Q51" i="6"/>
  <c r="Q46" i="6"/>
  <c r="R49" i="6"/>
  <c r="R41" i="6"/>
  <c r="R43" i="6"/>
  <c r="R58" i="6"/>
  <c r="R60" i="6"/>
  <c r="S33" i="6"/>
  <c r="S39" i="6"/>
  <c r="S32" i="6"/>
  <c r="T37" i="6"/>
  <c r="O65" i="6"/>
  <c r="P63" i="6"/>
  <c r="Q70" i="6" l="1"/>
  <c r="V20" i="8"/>
  <c r="W20" i="8" s="1"/>
  <c r="W19" i="8"/>
  <c r="O67" i="6"/>
  <c r="S53" i="6"/>
  <c r="S54" i="6"/>
  <c r="S56" i="6"/>
  <c r="S55" i="6"/>
  <c r="R51" i="6"/>
  <c r="S49" i="6"/>
  <c r="S43" i="6"/>
  <c r="S41" i="6"/>
  <c r="S60" i="6"/>
  <c r="S58" i="6"/>
  <c r="R46" i="6"/>
  <c r="T39" i="6"/>
  <c r="T32" i="6"/>
  <c r="U37" i="6"/>
  <c r="T33" i="6"/>
  <c r="S48" i="6"/>
  <c r="P65" i="6"/>
  <c r="Q63" i="6"/>
  <c r="R70" i="6" l="1"/>
  <c r="P67" i="6"/>
  <c r="T53" i="6"/>
  <c r="T56" i="6"/>
  <c r="T54" i="6"/>
  <c r="T55" i="6"/>
  <c r="T48" i="6"/>
  <c r="U39" i="6"/>
  <c r="U32" i="6"/>
  <c r="V37" i="6"/>
  <c r="U33" i="6"/>
  <c r="T49" i="6"/>
  <c r="T41" i="6"/>
  <c r="T43" i="6"/>
  <c r="T60" i="6"/>
  <c r="T58" i="6"/>
  <c r="S51" i="6"/>
  <c r="S46" i="6"/>
  <c r="Q65" i="6"/>
  <c r="R63" i="6"/>
  <c r="S70" i="6" l="1"/>
  <c r="Q67" i="6"/>
  <c r="U56" i="6"/>
  <c r="U53" i="6"/>
  <c r="U54" i="6"/>
  <c r="U55" i="6"/>
  <c r="T51" i="6"/>
  <c r="U48" i="6"/>
  <c r="V39" i="6"/>
  <c r="V32" i="6"/>
  <c r="W37" i="6"/>
  <c r="V33" i="6"/>
  <c r="U49" i="6"/>
  <c r="U43" i="6"/>
  <c r="U41" i="6"/>
  <c r="U58" i="6"/>
  <c r="U60" i="6"/>
  <c r="T46" i="6"/>
  <c r="R65" i="6"/>
  <c r="S63" i="6"/>
  <c r="T70" i="6" l="1"/>
  <c r="R67" i="6"/>
  <c r="U51" i="6"/>
  <c r="V56" i="6"/>
  <c r="V53" i="6"/>
  <c r="V54" i="6"/>
  <c r="V55" i="6"/>
  <c r="V48" i="6"/>
  <c r="V41" i="6"/>
  <c r="V49" i="6"/>
  <c r="V43" i="6"/>
  <c r="V58" i="6"/>
  <c r="V60" i="6"/>
  <c r="W32" i="6"/>
  <c r="X37" i="6"/>
  <c r="W33" i="6"/>
  <c r="W39" i="6"/>
  <c r="U46" i="6"/>
  <c r="S65" i="6"/>
  <c r="T63" i="6"/>
  <c r="U70" i="6" l="1"/>
  <c r="V46" i="6"/>
  <c r="S67" i="6"/>
  <c r="V51" i="6"/>
  <c r="W56" i="6"/>
  <c r="W54" i="6"/>
  <c r="W53" i="6"/>
  <c r="W55" i="6"/>
  <c r="X32" i="6"/>
  <c r="Y37" i="6"/>
  <c r="X33" i="6"/>
  <c r="X39" i="6"/>
  <c r="W41" i="6"/>
  <c r="W43" i="6"/>
  <c r="W49" i="6"/>
  <c r="W58" i="6"/>
  <c r="W60" i="6"/>
  <c r="W48" i="6"/>
  <c r="T65" i="6"/>
  <c r="U63" i="6"/>
  <c r="V70" i="6" l="1"/>
  <c r="T67" i="6"/>
  <c r="X54" i="6"/>
  <c r="X56" i="6"/>
  <c r="X53" i="6"/>
  <c r="X55" i="6"/>
  <c r="W46" i="6"/>
  <c r="X48" i="6"/>
  <c r="W51" i="6"/>
  <c r="Z37" i="6"/>
  <c r="Y32" i="6"/>
  <c r="Y33" i="6"/>
  <c r="Y39" i="6"/>
  <c r="X43" i="6"/>
  <c r="X49" i="6"/>
  <c r="X41" i="6"/>
  <c r="X58" i="6"/>
  <c r="X60" i="6"/>
  <c r="U65" i="6"/>
  <c r="V63" i="6"/>
  <c r="W70" i="6" l="1"/>
  <c r="U67" i="6"/>
  <c r="X51" i="6"/>
  <c r="Y54" i="6"/>
  <c r="Y56" i="6"/>
  <c r="Y53" i="6"/>
  <c r="Y55" i="6"/>
  <c r="X46" i="6"/>
  <c r="Y48" i="6"/>
  <c r="Y43" i="6"/>
  <c r="Y41" i="6"/>
  <c r="Y49" i="6"/>
  <c r="Y58" i="6"/>
  <c r="Y60" i="6"/>
  <c r="Z32" i="6"/>
  <c r="AA37" i="6"/>
  <c r="Z33" i="6"/>
  <c r="Z39" i="6"/>
  <c r="W63" i="6"/>
  <c r="V65" i="6"/>
  <c r="X70" i="6" l="1"/>
  <c r="V67" i="6"/>
  <c r="Y46" i="6"/>
  <c r="Z54" i="6"/>
  <c r="Z56" i="6"/>
  <c r="Z53" i="6"/>
  <c r="Z55" i="6"/>
  <c r="AA32" i="6"/>
  <c r="AA33" i="6"/>
  <c r="AA39" i="6"/>
  <c r="AB37" i="6"/>
  <c r="Z41" i="6"/>
  <c r="Z43" i="6"/>
  <c r="Z49" i="6"/>
  <c r="Z60" i="6"/>
  <c r="Z58" i="6"/>
  <c r="Y51" i="6"/>
  <c r="Z48" i="6"/>
  <c r="X63" i="6"/>
  <c r="W65" i="6"/>
  <c r="Y70" i="6" l="1"/>
  <c r="W67" i="6"/>
  <c r="AA54" i="6"/>
  <c r="AA56" i="6"/>
  <c r="AA53" i="6"/>
  <c r="AA55" i="6"/>
  <c r="Z51" i="6"/>
  <c r="AA43" i="6"/>
  <c r="AA49" i="6"/>
  <c r="AA41" i="6"/>
  <c r="AA58" i="6"/>
  <c r="AA60" i="6"/>
  <c r="AA48" i="6"/>
  <c r="Z46" i="6"/>
  <c r="AB33" i="6"/>
  <c r="AB32" i="6"/>
  <c r="AB39" i="6"/>
  <c r="AC37" i="6"/>
  <c r="Y63" i="6"/>
  <c r="X65" i="6"/>
  <c r="Z70" i="6" l="1"/>
  <c r="X67" i="6"/>
  <c r="AB54" i="6"/>
  <c r="AB56" i="6"/>
  <c r="AB53" i="6"/>
  <c r="AB55" i="6"/>
  <c r="AA51" i="6"/>
  <c r="AC33" i="6"/>
  <c r="AD37" i="6"/>
  <c r="AC32" i="6"/>
  <c r="AC39" i="6"/>
  <c r="AB41" i="6"/>
  <c r="AB49" i="6"/>
  <c r="AB43" i="6"/>
  <c r="AB58" i="6"/>
  <c r="AB60" i="6"/>
  <c r="AA46" i="6"/>
  <c r="AB48" i="6"/>
  <c r="Z63" i="6"/>
  <c r="Y65" i="6"/>
  <c r="AA70" i="6" l="1"/>
  <c r="Y67" i="6"/>
  <c r="AC54" i="6"/>
  <c r="AC53" i="6"/>
  <c r="AC55" i="6"/>
  <c r="AC56" i="6"/>
  <c r="AB51" i="6"/>
  <c r="AD33" i="6"/>
  <c r="AD32" i="6"/>
  <c r="AD39" i="6"/>
  <c r="AE37" i="6"/>
  <c r="AC49" i="6"/>
  <c r="AC43" i="6"/>
  <c r="AC41" i="6"/>
  <c r="AC58" i="6"/>
  <c r="AC60" i="6"/>
  <c r="AC48" i="6"/>
  <c r="AB46" i="6"/>
  <c r="Z65" i="6"/>
  <c r="AA63" i="6"/>
  <c r="AB70" i="6" l="1"/>
  <c r="Z67" i="6"/>
  <c r="AD53" i="6"/>
  <c r="AD56" i="6"/>
  <c r="AD54" i="6"/>
  <c r="AD55" i="6"/>
  <c r="AC46" i="6"/>
  <c r="AE39" i="6"/>
  <c r="AE32" i="6"/>
  <c r="AF37" i="6"/>
  <c r="AE33" i="6"/>
  <c r="AD41" i="6"/>
  <c r="AD49" i="6"/>
  <c r="AD43" i="6"/>
  <c r="AD58" i="6"/>
  <c r="AD60" i="6"/>
  <c r="AD48" i="6"/>
  <c r="AC51" i="6"/>
  <c r="AA65" i="6"/>
  <c r="AB63" i="6"/>
  <c r="AC70" i="6" l="1"/>
  <c r="AA67" i="6"/>
  <c r="AE53" i="6"/>
  <c r="AE54" i="6"/>
  <c r="AE56" i="6"/>
  <c r="AE55" i="6"/>
  <c r="AD46" i="6"/>
  <c r="AD51" i="6"/>
  <c r="AE48" i="6"/>
  <c r="AF39" i="6"/>
  <c r="AF33" i="6"/>
  <c r="AF32" i="6"/>
  <c r="AG37" i="6"/>
  <c r="AE49" i="6"/>
  <c r="AE41" i="6"/>
  <c r="AE43" i="6"/>
  <c r="AE58" i="6"/>
  <c r="AE60" i="6"/>
  <c r="AB65" i="6"/>
  <c r="AC63" i="6"/>
  <c r="AD70" i="6" l="1"/>
  <c r="AB67" i="6"/>
  <c r="AF56" i="6"/>
  <c r="AF53" i="6"/>
  <c r="AF54" i="6"/>
  <c r="AF55" i="6"/>
  <c r="AE51" i="6"/>
  <c r="AF48" i="6"/>
  <c r="AE46" i="6"/>
  <c r="AG39" i="6"/>
  <c r="AG32" i="6"/>
  <c r="AG33" i="6"/>
  <c r="AH37" i="6"/>
  <c r="AF43" i="6"/>
  <c r="AF41" i="6"/>
  <c r="AF49" i="6"/>
  <c r="AF60" i="6"/>
  <c r="AF58" i="6"/>
  <c r="AC65" i="6"/>
  <c r="AD63" i="6"/>
  <c r="AE70" i="6" l="1"/>
  <c r="AC67" i="6"/>
  <c r="AF51" i="6"/>
  <c r="AF46" i="6"/>
  <c r="AG56" i="6"/>
  <c r="AG53" i="6"/>
  <c r="AG54" i="6"/>
  <c r="AG55" i="6"/>
  <c r="AG48" i="6"/>
  <c r="AG49" i="6"/>
  <c r="AG43" i="6"/>
  <c r="AG41" i="6"/>
  <c r="AG58" i="6"/>
  <c r="AG60" i="6"/>
  <c r="AH39" i="6"/>
  <c r="AH32" i="6"/>
  <c r="AI37" i="6"/>
  <c r="AH33" i="6"/>
  <c r="AD65" i="6"/>
  <c r="AE63" i="6"/>
  <c r="AF70" i="6" l="1"/>
  <c r="AD67" i="6"/>
  <c r="AG46" i="6"/>
  <c r="AH56" i="6"/>
  <c r="AH54" i="6"/>
  <c r="AH53" i="6"/>
  <c r="AH55" i="6"/>
  <c r="AH49" i="6"/>
  <c r="AH43" i="6"/>
  <c r="AH41" i="6"/>
  <c r="AH58" i="6"/>
  <c r="AH60" i="6"/>
  <c r="AG51" i="6"/>
  <c r="AH48" i="6"/>
  <c r="AI32" i="6"/>
  <c r="AJ37" i="6"/>
  <c r="AI33" i="6"/>
  <c r="AI39" i="6"/>
  <c r="AE65" i="6"/>
  <c r="AF63" i="6"/>
  <c r="AG70" i="6" l="1"/>
  <c r="AE67" i="6"/>
  <c r="AI56" i="6"/>
  <c r="AI54" i="6"/>
  <c r="AI53" i="6"/>
  <c r="AI55" i="6"/>
  <c r="AH51" i="6"/>
  <c r="AI43" i="6"/>
  <c r="AI49" i="6"/>
  <c r="AI41" i="6"/>
  <c r="AI60" i="6"/>
  <c r="AI58" i="6"/>
  <c r="AI48" i="6"/>
  <c r="AJ32" i="6"/>
  <c r="AK37" i="6"/>
  <c r="AJ33" i="6"/>
  <c r="AJ39" i="6"/>
  <c r="AH46" i="6"/>
  <c r="AF65" i="6"/>
  <c r="AG63" i="6"/>
  <c r="AH70" i="6" l="1"/>
  <c r="AF67" i="6"/>
  <c r="AI46" i="6"/>
  <c r="AJ54" i="6"/>
  <c r="AJ53" i="6"/>
  <c r="AJ56" i="6"/>
  <c r="AJ55" i="6"/>
  <c r="AI51" i="6"/>
  <c r="AL37" i="6"/>
  <c r="AK33" i="6"/>
  <c r="AK32" i="6"/>
  <c r="AK39" i="6"/>
  <c r="AJ49" i="6"/>
  <c r="AJ43" i="6"/>
  <c r="AJ41" i="6"/>
  <c r="AJ60" i="6"/>
  <c r="AJ58" i="6"/>
  <c r="AJ48" i="6"/>
  <c r="AG65" i="6"/>
  <c r="AH63" i="6"/>
  <c r="AI70" i="6" l="1"/>
  <c r="AG67" i="6"/>
  <c r="AK54" i="6"/>
  <c r="AK56" i="6"/>
  <c r="AK53" i="6"/>
  <c r="AK55" i="6"/>
  <c r="AJ46" i="6"/>
  <c r="AK41" i="6"/>
  <c r="AK43" i="6"/>
  <c r="AK49" i="6"/>
  <c r="AK60" i="6"/>
  <c r="AK58" i="6"/>
  <c r="AK48" i="6"/>
  <c r="AJ51" i="6"/>
  <c r="AM37" i="6"/>
  <c r="AL32" i="6"/>
  <c r="AL33" i="6"/>
  <c r="AL39" i="6"/>
  <c r="AI63" i="6"/>
  <c r="AH65" i="6"/>
  <c r="AJ70" i="6" l="1"/>
  <c r="AH67" i="6"/>
  <c r="AL54" i="6"/>
  <c r="AL56" i="6"/>
  <c r="AL53" i="6"/>
  <c r="AL55" i="6"/>
  <c r="AK51" i="6"/>
  <c r="AK46" i="6"/>
  <c r="AL49" i="6"/>
  <c r="AL43" i="6"/>
  <c r="AL41" i="6"/>
  <c r="AL60" i="6"/>
  <c r="AL58" i="6"/>
  <c r="AL48" i="6"/>
  <c r="AN37" i="6"/>
  <c r="AM33" i="6"/>
  <c r="AM39" i="6"/>
  <c r="AM32" i="6"/>
  <c r="AJ63" i="6"/>
  <c r="AI65" i="6"/>
  <c r="AK70" i="6" l="1"/>
  <c r="AI67" i="6"/>
  <c r="AL51" i="6"/>
  <c r="AM54" i="6"/>
  <c r="AM53" i="6"/>
  <c r="AM56" i="6"/>
  <c r="AM55" i="6"/>
  <c r="AL46" i="6"/>
  <c r="AN33" i="6"/>
  <c r="AN32" i="6"/>
  <c r="AO37" i="6"/>
  <c r="AN39" i="6"/>
  <c r="AM41" i="6"/>
  <c r="AM49" i="6"/>
  <c r="AM43" i="6"/>
  <c r="AM58" i="6"/>
  <c r="AM60" i="6"/>
  <c r="AM48" i="6"/>
  <c r="AK63" i="6"/>
  <c r="AJ65" i="6"/>
  <c r="AL70" i="6" l="1"/>
  <c r="AJ67" i="6"/>
  <c r="AN54" i="6"/>
  <c r="AN53" i="6"/>
  <c r="AN56" i="6"/>
  <c r="AN55" i="6"/>
  <c r="AM46" i="6"/>
  <c r="AO32" i="6"/>
  <c r="AO33" i="6"/>
  <c r="AP37" i="6"/>
  <c r="AO39" i="6"/>
  <c r="AN49" i="6"/>
  <c r="AN41" i="6"/>
  <c r="AN43" i="6"/>
  <c r="AN60" i="6"/>
  <c r="AN58" i="6"/>
  <c r="AN48" i="6"/>
  <c r="AM51" i="6"/>
  <c r="AL63" i="6"/>
  <c r="AK65" i="6"/>
  <c r="AM70" i="6" l="1"/>
  <c r="AK67" i="6"/>
  <c r="AO54" i="6"/>
  <c r="AO53" i="6"/>
  <c r="AO56" i="6"/>
  <c r="AO55" i="6"/>
  <c r="AP33" i="6"/>
  <c r="AP32" i="6"/>
  <c r="AQ37" i="6"/>
  <c r="AP39" i="6"/>
  <c r="AN51" i="6"/>
  <c r="AO48" i="6"/>
  <c r="AN46" i="6"/>
  <c r="AO49" i="6"/>
  <c r="AO43" i="6"/>
  <c r="AO41" i="6"/>
  <c r="AO58" i="6"/>
  <c r="AO60" i="6"/>
  <c r="AL65" i="6"/>
  <c r="AM63" i="6"/>
  <c r="AN70" i="6" l="1"/>
  <c r="AL67" i="6"/>
  <c r="AP56" i="6"/>
  <c r="AP53" i="6"/>
  <c r="AP54" i="6"/>
  <c r="AP55" i="6"/>
  <c r="AO51" i="6"/>
  <c r="AP41" i="6"/>
  <c r="AP43" i="6"/>
  <c r="AP49" i="6"/>
  <c r="AP58" i="6"/>
  <c r="AP60" i="6"/>
  <c r="AQ39" i="6"/>
  <c r="AQ33" i="6"/>
  <c r="AQ32" i="6"/>
  <c r="AR37" i="6"/>
  <c r="AO46" i="6"/>
  <c r="AP48" i="6"/>
  <c r="AM65" i="6"/>
  <c r="AN63" i="6"/>
  <c r="AO70" i="6" l="1"/>
  <c r="AM67" i="6"/>
  <c r="AQ53" i="6"/>
  <c r="AQ54" i="6"/>
  <c r="AQ56" i="6"/>
  <c r="AQ55" i="6"/>
  <c r="AP46" i="6"/>
  <c r="AQ48" i="6"/>
  <c r="AR33" i="6"/>
  <c r="AR39" i="6"/>
  <c r="AR32" i="6"/>
  <c r="AS37" i="6"/>
  <c r="AQ43" i="6"/>
  <c r="AQ49" i="6"/>
  <c r="AQ41" i="6"/>
  <c r="AQ60" i="6"/>
  <c r="AQ58" i="6"/>
  <c r="AP51" i="6"/>
  <c r="AN65" i="6"/>
  <c r="AO63" i="6"/>
  <c r="AP70" i="6" l="1"/>
  <c r="AN67" i="6"/>
  <c r="AQ51" i="6"/>
  <c r="AR56" i="6"/>
  <c r="AR53" i="6"/>
  <c r="AR54" i="6"/>
  <c r="AR55" i="6"/>
  <c r="AQ46" i="6"/>
  <c r="AS39" i="6"/>
  <c r="AS33" i="6"/>
  <c r="AS32" i="6"/>
  <c r="AT37" i="6"/>
  <c r="AR49" i="6"/>
  <c r="AR41" i="6"/>
  <c r="AR43" i="6"/>
  <c r="AR60" i="6"/>
  <c r="AR58" i="6"/>
  <c r="AR48" i="6"/>
  <c r="AO65" i="6"/>
  <c r="AP63" i="6"/>
  <c r="AQ70" i="6" l="1"/>
  <c r="AO67" i="6"/>
  <c r="AS56" i="6"/>
  <c r="AS53" i="6"/>
  <c r="AS54" i="6"/>
  <c r="AS55" i="6"/>
  <c r="AT39" i="6"/>
  <c r="AT32" i="6"/>
  <c r="AT33" i="6"/>
  <c r="AU37" i="6"/>
  <c r="AR51" i="6"/>
  <c r="AS48" i="6"/>
  <c r="AR46" i="6"/>
  <c r="AS41" i="6"/>
  <c r="AS43" i="6"/>
  <c r="AS49" i="6"/>
  <c r="AS60" i="6"/>
  <c r="AS58" i="6"/>
  <c r="AP65" i="6"/>
  <c r="AQ63" i="6"/>
  <c r="AR70" i="6" l="1"/>
  <c r="AP67" i="6"/>
  <c r="AT56" i="6"/>
  <c r="AT54" i="6"/>
  <c r="AT53" i="6"/>
  <c r="AT55" i="6"/>
  <c r="AS51" i="6"/>
  <c r="AU39" i="6"/>
  <c r="AU32" i="6"/>
  <c r="AV37" i="6"/>
  <c r="AU33" i="6"/>
  <c r="AT48" i="6"/>
  <c r="AS46" i="6"/>
  <c r="AT41" i="6"/>
  <c r="AT43" i="6"/>
  <c r="AT49" i="6"/>
  <c r="AT60" i="6"/>
  <c r="AT58" i="6"/>
  <c r="AQ65" i="6"/>
  <c r="AR63" i="6"/>
  <c r="AS70" i="6" l="1"/>
  <c r="AQ67" i="6"/>
  <c r="AT51" i="6"/>
  <c r="AU56" i="6"/>
  <c r="AU53" i="6"/>
  <c r="AU54" i="6"/>
  <c r="AU55" i="6"/>
  <c r="AU48" i="6"/>
  <c r="AV32" i="6"/>
  <c r="AW37" i="6"/>
  <c r="AV33" i="6"/>
  <c r="AV39" i="6"/>
  <c r="AT46" i="6"/>
  <c r="AU49" i="6"/>
  <c r="AU41" i="6"/>
  <c r="AU43" i="6"/>
  <c r="AU58" i="6"/>
  <c r="AU60" i="6"/>
  <c r="AR65" i="6"/>
  <c r="AS63" i="6"/>
  <c r="AT70" i="6" l="1"/>
  <c r="AR67" i="6"/>
  <c r="AU51" i="6"/>
  <c r="AV54" i="6"/>
  <c r="AV53" i="6"/>
  <c r="AV56" i="6"/>
  <c r="AV55" i="6"/>
  <c r="AX37" i="6"/>
  <c r="AW32" i="6"/>
  <c r="AW33" i="6"/>
  <c r="AW39" i="6"/>
  <c r="AV43" i="6"/>
  <c r="AV41" i="6"/>
  <c r="AV49" i="6"/>
  <c r="AV60" i="6"/>
  <c r="AV58" i="6"/>
  <c r="AV48" i="6"/>
  <c r="AU46" i="6"/>
  <c r="AS65" i="6"/>
  <c r="AT63" i="6"/>
  <c r="AU70" i="6" l="1"/>
  <c r="AS67" i="6"/>
  <c r="AW56" i="6"/>
  <c r="AW54" i="6"/>
  <c r="AW53" i="6"/>
  <c r="AW55" i="6"/>
  <c r="AV46" i="6"/>
  <c r="AW48" i="6"/>
  <c r="AV51" i="6"/>
  <c r="AW41" i="6"/>
  <c r="AW43" i="6"/>
  <c r="AW49" i="6"/>
  <c r="AW60" i="6"/>
  <c r="AW58" i="6"/>
  <c r="AX39" i="6"/>
  <c r="AY37" i="6"/>
  <c r="AX32" i="6"/>
  <c r="AX33" i="6"/>
  <c r="AU63" i="6"/>
  <c r="AT65" i="6"/>
  <c r="AV70" i="6" l="1"/>
  <c r="AT67" i="6"/>
  <c r="AW46" i="6"/>
  <c r="AW51" i="6"/>
  <c r="AX54" i="6"/>
  <c r="AX53" i="6"/>
  <c r="AX56" i="6"/>
  <c r="AX55" i="6"/>
  <c r="AX48" i="6"/>
  <c r="AY32" i="6"/>
  <c r="AY39" i="6"/>
  <c r="AY33" i="6"/>
  <c r="AZ37" i="6"/>
  <c r="AX41" i="6"/>
  <c r="AX49" i="6"/>
  <c r="AX43" i="6"/>
  <c r="AX58" i="6"/>
  <c r="AX60" i="6"/>
  <c r="AV63" i="6"/>
  <c r="AU65" i="6"/>
  <c r="AW70" i="6" l="1"/>
  <c r="AU67" i="6"/>
  <c r="AX46" i="6"/>
  <c r="AY54" i="6"/>
  <c r="AY53" i="6"/>
  <c r="AY56" i="6"/>
  <c r="AY55" i="6"/>
  <c r="AY48" i="6"/>
  <c r="AX51" i="6"/>
  <c r="AZ32" i="6"/>
  <c r="BA37" i="6"/>
  <c r="AZ33" i="6"/>
  <c r="AZ39" i="6"/>
  <c r="AY41" i="6"/>
  <c r="AY49" i="6"/>
  <c r="AY43" i="6"/>
  <c r="AY58" i="6"/>
  <c r="AY60" i="6"/>
  <c r="AW63" i="6"/>
  <c r="AV65" i="6"/>
  <c r="AX70" i="6" l="1"/>
  <c r="AV67" i="6"/>
  <c r="AY51" i="6"/>
  <c r="AZ54" i="6"/>
  <c r="AZ53" i="6"/>
  <c r="AZ56" i="6"/>
  <c r="AZ55" i="6"/>
  <c r="AZ43" i="6"/>
  <c r="AZ41" i="6"/>
  <c r="AZ49" i="6"/>
  <c r="AZ60" i="6"/>
  <c r="AZ58" i="6"/>
  <c r="BA33" i="6"/>
  <c r="BB37" i="6"/>
  <c r="BA39" i="6"/>
  <c r="BA32" i="6"/>
  <c r="AY46" i="6"/>
  <c r="AZ48" i="6"/>
  <c r="AX63" i="6"/>
  <c r="AW65" i="6"/>
  <c r="AY70" i="6" l="1"/>
  <c r="AW67" i="6"/>
  <c r="BA54" i="6"/>
  <c r="BA53" i="6"/>
  <c r="BA56" i="6"/>
  <c r="BA55" i="6"/>
  <c r="BB33" i="6"/>
  <c r="BB32" i="6"/>
  <c r="BB39" i="6"/>
  <c r="BC37" i="6"/>
  <c r="BA48" i="6"/>
  <c r="AZ46" i="6"/>
  <c r="BA41" i="6"/>
  <c r="BA49" i="6"/>
  <c r="BA43" i="6"/>
  <c r="BA58" i="6"/>
  <c r="BA60" i="6"/>
  <c r="AZ51" i="6"/>
  <c r="AX65" i="6"/>
  <c r="AY63" i="6"/>
  <c r="AZ70" i="6" l="1"/>
  <c r="AX67" i="6"/>
  <c r="BA51" i="6"/>
  <c r="BB56" i="6"/>
  <c r="BB53" i="6"/>
  <c r="BB54" i="6"/>
  <c r="BB55" i="6"/>
  <c r="BC39" i="6"/>
  <c r="BC33" i="6"/>
  <c r="BC32" i="6"/>
  <c r="BD37" i="6"/>
  <c r="BB41" i="6"/>
  <c r="BB49" i="6"/>
  <c r="BB43" i="6"/>
  <c r="BB58" i="6"/>
  <c r="BB60" i="6"/>
  <c r="BA46" i="6"/>
  <c r="BB48" i="6"/>
  <c r="AY65" i="6"/>
  <c r="AZ63" i="6"/>
  <c r="BA70" i="6" l="1"/>
  <c r="AY67" i="6"/>
  <c r="BC53" i="6"/>
  <c r="BC56" i="6"/>
  <c r="BC54" i="6"/>
  <c r="BC55" i="6"/>
  <c r="BB46" i="6"/>
  <c r="BD33" i="6"/>
  <c r="BD39" i="6"/>
  <c r="BD32" i="6"/>
  <c r="BE37" i="6"/>
  <c r="BC48" i="6"/>
  <c r="BB51" i="6"/>
  <c r="BC49" i="6"/>
  <c r="BC41" i="6"/>
  <c r="BC43" i="6"/>
  <c r="BC58" i="6"/>
  <c r="BC60" i="6"/>
  <c r="AZ65" i="6"/>
  <c r="BA63" i="6"/>
  <c r="BB70" i="6" l="1"/>
  <c r="F70" i="6" s="1"/>
  <c r="AZ67" i="6"/>
  <c r="BC46" i="6"/>
  <c r="BD53" i="6"/>
  <c r="BD56" i="6"/>
  <c r="BD54" i="6"/>
  <c r="BD55" i="6"/>
  <c r="BC51" i="6"/>
  <c r="BE39" i="6"/>
  <c r="BE32" i="6"/>
  <c r="BF37" i="6"/>
  <c r="BE33" i="6"/>
  <c r="BD43" i="6"/>
  <c r="BD41" i="6"/>
  <c r="BD49" i="6"/>
  <c r="BD58" i="6"/>
  <c r="BD60" i="6"/>
  <c r="BD48" i="6"/>
  <c r="BA65" i="6"/>
  <c r="BB63" i="6"/>
  <c r="BC70" i="6" l="1"/>
  <c r="BA67" i="6"/>
  <c r="BE56" i="6"/>
  <c r="BE54" i="6"/>
  <c r="BE53" i="6"/>
  <c r="BE55" i="6"/>
  <c r="BD46" i="6"/>
  <c r="BD51" i="6"/>
  <c r="BE48" i="6"/>
  <c r="BF39" i="6"/>
  <c r="BF32" i="6"/>
  <c r="BG37" i="6"/>
  <c r="BF33" i="6"/>
  <c r="BE49" i="6"/>
  <c r="BE41" i="6"/>
  <c r="BE43" i="6"/>
  <c r="BE60" i="6"/>
  <c r="BE58" i="6"/>
  <c r="BB65" i="6"/>
  <c r="BC63" i="6"/>
  <c r="BD70" i="6" l="1"/>
  <c r="BB67" i="6"/>
  <c r="BE46" i="6"/>
  <c r="BF56" i="6"/>
  <c r="BF54" i="6"/>
  <c r="BF53" i="6"/>
  <c r="BF55" i="6"/>
  <c r="BE51" i="6"/>
  <c r="BF48" i="6"/>
  <c r="BF41" i="6"/>
  <c r="BF43" i="6"/>
  <c r="BF49" i="6"/>
  <c r="BF58" i="6"/>
  <c r="BF60" i="6"/>
  <c r="BG32" i="6"/>
  <c r="BG39" i="6"/>
  <c r="BG33" i="6"/>
  <c r="BC65" i="6"/>
  <c r="BD63" i="6"/>
  <c r="BE70" i="6" l="1"/>
  <c r="BF46" i="6"/>
  <c r="BC67" i="6"/>
  <c r="BF51" i="6"/>
  <c r="BG56" i="6"/>
  <c r="F56" i="6" s="1"/>
  <c r="BG54" i="6"/>
  <c r="F54" i="6" s="1"/>
  <c r="BG53" i="6"/>
  <c r="F53" i="6" s="1"/>
  <c r="BG55" i="6"/>
  <c r="BG43" i="6"/>
  <c r="F43" i="6" s="1"/>
  <c r="BG41" i="6"/>
  <c r="F41" i="6" s="1"/>
  <c r="BG49" i="6"/>
  <c r="F49" i="6" s="1"/>
  <c r="BG58" i="6"/>
  <c r="F58" i="6" s="1"/>
  <c r="BG60" i="6"/>
  <c r="F60" i="6" s="1"/>
  <c r="BG48" i="6"/>
  <c r="BD65" i="6"/>
  <c r="BE63" i="6"/>
  <c r="BF70" i="6" l="1"/>
  <c r="BD67" i="6"/>
  <c r="BG46" i="6"/>
  <c r="F48" i="6"/>
  <c r="BG51" i="6"/>
  <c r="F55" i="6"/>
  <c r="BE65" i="6"/>
  <c r="BF63" i="6"/>
  <c r="BG70" i="6" l="1"/>
  <c r="F46" i="6"/>
  <c r="BE67" i="6"/>
  <c r="F51" i="6"/>
  <c r="V27" i="1" a="1"/>
  <c r="V27" i="1" s="1"/>
  <c r="S27" i="1" a="1"/>
  <c r="S27" i="1" s="1"/>
  <c r="T27" i="1" s="1"/>
  <c r="BG63" i="6"/>
  <c r="BG65" i="6" s="1"/>
  <c r="BF65" i="6"/>
  <c r="F63" i="6" l="1"/>
  <c r="BF67" i="6"/>
  <c r="BG67" i="6" s="1"/>
  <c r="V28" i="1" s="1" a="1"/>
  <c r="V28" i="1" s="1"/>
  <c r="F65" i="6"/>
  <c r="S28" i="1" l="1" a="1"/>
  <c r="S28" i="1" s="1"/>
  <c r="T28" i="1" s="1"/>
  <c r="F67" i="6"/>
  <c r="G23" i="7"/>
  <c r="L15" i="1" s="1"/>
  <c r="P15" i="1" s="1"/>
  <c r="E23" i="7" l="1"/>
  <c r="J15" i="1" s="1"/>
  <c r="N15" i="1" s="1"/>
  <c r="L6" i="13"/>
  <c r="M15" i="13"/>
  <c r="M14" i="13"/>
  <c r="G25" i="7"/>
  <c r="E28" i="7" l="1"/>
  <c r="J21" i="1" s="1"/>
  <c r="L17" i="1"/>
  <c r="P17" i="1" s="1"/>
  <c r="E25" i="7"/>
  <c r="J17" i="1" s="1"/>
  <c r="N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60FF6-DA39-4BF1-BDA4-EC2401242F79}" keepAlive="1" name="Query - ad_hoc_cost" description="Connection to the 'ad_hoc_cost' query in the workbook." type="5" refreshedVersion="0" saveData="1">
    <dbPr connection="Provider=Microsoft.Mashup.OleDb.1;Data Source=$Workbook$;Location=ad_hoc_cost;Extended Properties=&quot;&quot;" command="SELECT * FROM [ad_hoc_cost]"/>
  </connection>
  <connection id="2" xr16:uid="{46B5D008-4731-472E-908D-ECEA9DC57A9F}" keepAlive="1" name="Query - Quote_sgl (Prod)" description="Connection to the 'Quote_sgl (Prod)' query in the workbook." type="5" refreshedVersion="8" saveData="1">
    <dbPr connection="Provider=Microsoft.Mashup.OleDb.1;Data Source=$Workbook$;Location=&quot;Quote_sgl (Prod)&quot;;Extended Properties=&quot;&quot;" command="SELECT * FROM [Quote_sgl (Prod)]"/>
  </connection>
  <connection id="3" xr16:uid="{93318EE0-865B-4145-B810-F2833B3A797D}" keepAlive="1" name="Query - sales_tbl - One" description="Connection to the 'sales_tbl - One' query in the workbook." type="5" refreshedVersion="8" saveData="1">
    <dbPr connection="Provider=Microsoft.Mashup.OleDb.1;Data Source=$Workbook$;Location=&quot;sales_tbl - One&quot;;Extended Properties=&quot;&quot;" command="SELECT * FROM [sales_tbl - One]"/>
  </connection>
  <connection id="4" xr16:uid="{4092CE37-8A7F-49EB-ADD3-2B7B4B86D7F0}" keepAlive="1" name="Query - stock_cost" description="Connection to the 'stock_cost' query in the workbook." type="5" refreshedVersion="0" saveData="1">
    <dbPr connection="Provider=Microsoft.Mashup.OleDb.1;Data Source=$Workbook$;Location=stock_cost;Extended Properties=&quot;&quot;" command="SELECT * FROM [stock_cost]"/>
  </connection>
  <connection id="5" xr16:uid="{AD6CFB7B-CD27-4614-88B9-D65638344D47}" keepAlive="1" name="Query - transport_cost" description="Connection to the 'transport_cost' query in the workbook." type="5" refreshedVersion="0" saveData="1">
    <dbPr connection="Provider=Microsoft.Mashup.OleDb.1;Data Source=$Workbook$;Location=transport_cost;Extended Properties=&quot;&quot;" command="SELECT * FROM [transport_co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<sst xmlns="http://schemas.openxmlformats.org/spreadsheetml/2006/main" count="2040" uniqueCount="1570">
  <si>
    <t>sssssssssssssssss</t>
  </si>
  <si>
    <t>ssssssssss</t>
  </si>
  <si>
    <t>Deal Overview</t>
  </si>
  <si>
    <t>Answer</t>
  </si>
  <si>
    <t>Comment</t>
  </si>
  <si>
    <t>Finance Summary</t>
  </si>
  <si>
    <t>Stock Allocation</t>
  </si>
  <si>
    <t>Deal Number</t>
  </si>
  <si>
    <t>USD</t>
  </si>
  <si>
    <t>ZAR</t>
  </si>
  <si>
    <t>Code</t>
  </si>
  <si>
    <t>Product</t>
  </si>
  <si>
    <t>Quantity</t>
  </si>
  <si>
    <t>Sales Rep</t>
  </si>
  <si>
    <t>Erin Wu</t>
  </si>
  <si>
    <t>Per UoM</t>
  </si>
  <si>
    <t>Total</t>
  </si>
  <si>
    <t>Name of Client</t>
  </si>
  <si>
    <t>Product Group</t>
  </si>
  <si>
    <t>Sales</t>
  </si>
  <si>
    <t>Deal Type</t>
  </si>
  <si>
    <t>Logistics</t>
  </si>
  <si>
    <t>Cost of Sales</t>
  </si>
  <si>
    <t>Consignee Location</t>
  </si>
  <si>
    <t>Delivery Location</t>
  </si>
  <si>
    <t>Kolwezi</t>
  </si>
  <si>
    <t>Gross Profit</t>
  </si>
  <si>
    <t>Delivery Start</t>
  </si>
  <si>
    <t>Finance</t>
  </si>
  <si>
    <t>Finance Cost</t>
  </si>
  <si>
    <t>Payment Terms</t>
  </si>
  <si>
    <t>Quote Currency</t>
  </si>
  <si>
    <t xml:space="preserve">Profit After FC </t>
  </si>
  <si>
    <t>Exchange Rate</t>
  </si>
  <si>
    <t>Transport Allocation</t>
  </si>
  <si>
    <t>Compliance</t>
  </si>
  <si>
    <t>Gross Profit %</t>
  </si>
  <si>
    <t>Transporter</t>
  </si>
  <si>
    <t>Route</t>
  </si>
  <si>
    <t>INCO Terms</t>
  </si>
  <si>
    <t>DAP</t>
  </si>
  <si>
    <t>Contract Type</t>
  </si>
  <si>
    <t>Profit After FC %</t>
  </si>
  <si>
    <t>Current Exposure</t>
  </si>
  <si>
    <t>Credit Limit</t>
  </si>
  <si>
    <t>Comments</t>
  </si>
  <si>
    <t>Cash Flow</t>
  </si>
  <si>
    <t>Week</t>
  </si>
  <si>
    <t>Event</t>
  </si>
  <si>
    <t>Date</t>
  </si>
  <si>
    <t>Stock Code</t>
  </si>
  <si>
    <t>Product Name</t>
  </si>
  <si>
    <t>Specification</t>
  </si>
  <si>
    <t>Description</t>
  </si>
  <si>
    <t>HS Code</t>
  </si>
  <si>
    <t>Packaging</t>
  </si>
  <si>
    <t>UoM</t>
  </si>
  <si>
    <t>Country of Origin</t>
  </si>
  <si>
    <t>Cost Currency</t>
  </si>
  <si>
    <t>Price (VAT Excl)</t>
  </si>
  <si>
    <t>Total Cost</t>
  </si>
  <si>
    <t>Type</t>
  </si>
  <si>
    <t>Price (USD)</t>
  </si>
  <si>
    <t>Cost (USD)</t>
  </si>
  <si>
    <t>Price (ZAR)</t>
  </si>
  <si>
    <t>Cost (ZAR)</t>
  </si>
  <si>
    <t>Price (DS)</t>
  </si>
  <si>
    <t>Cost (DS)</t>
  </si>
  <si>
    <t>MT</t>
  </si>
  <si>
    <t>Belgium</t>
  </si>
  <si>
    <t>Cost of Material</t>
  </si>
  <si>
    <t>Currency</t>
  </si>
  <si>
    <t>Comments &amp; Workings:</t>
  </si>
  <si>
    <t>Price</t>
  </si>
  <si>
    <t>Clearance</t>
  </si>
  <si>
    <t>Deal No.</t>
  </si>
  <si>
    <t>Collection Point</t>
  </si>
  <si>
    <t>Delivery Point</t>
  </si>
  <si>
    <t>Quant Per Truck</t>
  </si>
  <si>
    <t>Est Trucks</t>
  </si>
  <si>
    <t>Durban</t>
  </si>
  <si>
    <t>Quote Comparison</t>
  </si>
  <si>
    <t>Quote No.</t>
  </si>
  <si>
    <t>Ad Hoc Costs</t>
  </si>
  <si>
    <t>AD Hoc Cost</t>
  </si>
  <si>
    <t>FERI Costs</t>
  </si>
  <si>
    <t>Storage &amp; Handling</t>
  </si>
  <si>
    <t>Purchase Price</t>
  </si>
  <si>
    <t>Sales Price</t>
  </si>
  <si>
    <t>GP Price</t>
  </si>
  <si>
    <t>GP %</t>
  </si>
  <si>
    <t>Purchase Cost</t>
  </si>
  <si>
    <t>Sales Total</t>
  </si>
  <si>
    <t>GP Total</t>
  </si>
  <si>
    <t>Transport</t>
  </si>
  <si>
    <t>Transport Cost</t>
  </si>
  <si>
    <t>Bagging and Bags</t>
  </si>
  <si>
    <t>Other</t>
  </si>
  <si>
    <t>Profit After Interest</t>
  </si>
  <si>
    <t>Profit After Interest %</t>
  </si>
  <si>
    <t>CASHFLOW CALCULATION TABLES</t>
  </si>
  <si>
    <t>Enter Cash Flow information here. 
The Cash Flow Tables button hides/unhides these tables.
The adjust columns will format it correctly. 
Please split the Purchase info for multiple stock codes.</t>
  </si>
  <si>
    <t>Deposit%</t>
  </si>
  <si>
    <t>Deposit Date</t>
  </si>
  <si>
    <t>Uplift Start</t>
  </si>
  <si>
    <t>Uplift (Days)</t>
  </si>
  <si>
    <t>Travel (Days)</t>
  </si>
  <si>
    <t>Terms (Days)</t>
  </si>
  <si>
    <t>Balance%</t>
  </si>
  <si>
    <t>Total Amount</t>
  </si>
  <si>
    <t>Balance Amount</t>
  </si>
  <si>
    <t>Deposit Amount</t>
  </si>
  <si>
    <t>Transport Terms</t>
  </si>
  <si>
    <t>Transport Amount</t>
  </si>
  <si>
    <t>Adhoc Amount</t>
  </si>
  <si>
    <t>Weeks to Uplift</t>
  </si>
  <si>
    <t>Weeks to Deliver</t>
  </si>
  <si>
    <t>Weeks To Pay</t>
  </si>
  <si>
    <t>Weekly Quant</t>
  </si>
  <si>
    <t>Weekly Sales</t>
  </si>
  <si>
    <t>Weekly Trsp</t>
  </si>
  <si>
    <t>Weekly Adhoc</t>
  </si>
  <si>
    <t>1st Uplift</t>
  </si>
  <si>
    <t>Final Uplift</t>
  </si>
  <si>
    <t>Delivery Date</t>
  </si>
  <si>
    <t>1st Delivery</t>
  </si>
  <si>
    <t>Final Delivery</t>
  </si>
  <si>
    <t>Payment Date</t>
  </si>
  <si>
    <t>1st Payment</t>
  </si>
  <si>
    <t>Final Payment</t>
  </si>
  <si>
    <t>Transport Date</t>
  </si>
  <si>
    <t>1st Transport</t>
  </si>
  <si>
    <t>Last Transport</t>
  </si>
  <si>
    <t>IsoW Dep</t>
  </si>
  <si>
    <t>IsoW Upl 1st</t>
  </si>
  <si>
    <t>IsoW Upl Last</t>
  </si>
  <si>
    <t>IsoW Del 1st</t>
  </si>
  <si>
    <t>IsoW Del Last</t>
  </si>
  <si>
    <t>IsoW Bal 1st</t>
  </si>
  <si>
    <t>IsoW Bal Last</t>
  </si>
  <si>
    <t>IsoW Trsp 1st</t>
  </si>
  <si>
    <t>IsoW Trsp Last</t>
  </si>
  <si>
    <t>Year Dep</t>
  </si>
  <si>
    <t>Year Upl 1st</t>
  </si>
  <si>
    <t>Year Upl Last</t>
  </si>
  <si>
    <t>Year Del 1st</t>
  </si>
  <si>
    <t>Year Del Last</t>
  </si>
  <si>
    <t>Year Bal 1st</t>
  </si>
  <si>
    <t>Year Bal Last</t>
  </si>
  <si>
    <t>Year Trsp 1st</t>
  </si>
  <si>
    <t>Year Trsp Last</t>
  </si>
  <si>
    <t>Purch Cost</t>
  </si>
  <si>
    <t>Deposit %</t>
  </si>
  <si>
    <t>Balance Date</t>
  </si>
  <si>
    <t>Deposit Cost</t>
  </si>
  <si>
    <t>Balance Cost</t>
  </si>
  <si>
    <t>IsoW Bal</t>
  </si>
  <si>
    <t>Year Bal</t>
  </si>
  <si>
    <t>VAT</t>
  </si>
  <si>
    <t>VAT Total</t>
  </si>
  <si>
    <t>Bal VAT</t>
  </si>
  <si>
    <t>Dep Vat</t>
  </si>
  <si>
    <t xml:space="preserve">VAT Bal </t>
  </si>
  <si>
    <t>VAT Dep</t>
  </si>
  <si>
    <t>Bal VAT Date</t>
  </si>
  <si>
    <t>Dep VAT Date</t>
  </si>
  <si>
    <t>ISOw DEP Vat</t>
  </si>
  <si>
    <t>Year Dep Vat</t>
  </si>
  <si>
    <t>ISOw Bal Vat</t>
  </si>
  <si>
    <t>Year Bal Vat</t>
  </si>
  <si>
    <t>Cash Flow Start Date:</t>
  </si>
  <si>
    <t>Uplifted</t>
  </si>
  <si>
    <t>Delivered</t>
  </si>
  <si>
    <t>Deposit</t>
  </si>
  <si>
    <t>Balance</t>
  </si>
  <si>
    <t>Purchase</t>
  </si>
  <si>
    <t>VAT Bal</t>
  </si>
  <si>
    <t>Other Costs</t>
  </si>
  <si>
    <t>After Interest</t>
  </si>
  <si>
    <t>Sort</t>
  </si>
  <si>
    <t>Quotation</t>
  </si>
  <si>
    <t xml:space="preserve">Build your Quote </t>
  </si>
  <si>
    <t>Pure Trade Africa (Pty) Ltd</t>
  </si>
  <si>
    <t>1st Floor, 29 Richefond Circle</t>
  </si>
  <si>
    <t>QUOTE NUMBER</t>
  </si>
  <si>
    <t>Ridgeside Office Park</t>
  </si>
  <si>
    <t>QUOTE DATE</t>
  </si>
  <si>
    <t>Quote Validity</t>
  </si>
  <si>
    <t>Default Expiry Date will be 1 week if no date is entered</t>
  </si>
  <si>
    <t>Umhlanga Ridge, 4319</t>
  </si>
  <si>
    <t>EXPIRY DATE</t>
  </si>
  <si>
    <t>Enter Date:</t>
  </si>
  <si>
    <t>Reg: 2010/017777/07</t>
  </si>
  <si>
    <t>INCO TERMS</t>
  </si>
  <si>
    <t>VAT No.: 4200257808</t>
  </si>
  <si>
    <t>Namibian Dollar Quote</t>
  </si>
  <si>
    <t>Select 'Yes' if quote must read NAD instead of ZAR</t>
  </si>
  <si>
    <t>Tel: +27 31 818 0840</t>
  </si>
  <si>
    <t>NAD</t>
  </si>
  <si>
    <t>BILL TO:</t>
  </si>
  <si>
    <t>SHIP TO:</t>
  </si>
  <si>
    <t>Show Delivery Date</t>
  </si>
  <si>
    <t>Enter start of delivery Period for Quote</t>
  </si>
  <si>
    <t>Delivery Start Date:</t>
  </si>
  <si>
    <t>Addressed to</t>
  </si>
  <si>
    <t>Enter name of person quote is addressed to</t>
  </si>
  <si>
    <t>Attention:</t>
  </si>
  <si>
    <t>Price/Unit</t>
  </si>
  <si>
    <t>Product Description</t>
  </si>
  <si>
    <t>Choose Option:</t>
  </si>
  <si>
    <t>Option</t>
  </si>
  <si>
    <t>Choose one of the options for the display of the product on the quote</t>
  </si>
  <si>
    <t>Stock Details</t>
  </si>
  <si>
    <t>Country of Origin:</t>
  </si>
  <si>
    <t>If these details are required complete here and they will appear on the template</t>
  </si>
  <si>
    <t>Country of Inspection:</t>
  </si>
  <si>
    <t>Other Comment:</t>
  </si>
  <si>
    <t>Sub Total</t>
  </si>
  <si>
    <t>TOTAL</t>
  </si>
  <si>
    <t>Additional Details</t>
  </si>
  <si>
    <t>ADDITIONAL DETAILS</t>
  </si>
  <si>
    <t>TERMS</t>
  </si>
  <si>
    <t>Add any additional notes here that need to appear on the quote</t>
  </si>
  <si>
    <t>Quote valid subject to Client Account being up-to-date.</t>
  </si>
  <si>
    <t>No</t>
  </si>
  <si>
    <t>Quote Created</t>
  </si>
  <si>
    <t>Quote Expired</t>
  </si>
  <si>
    <t>Country</t>
  </si>
  <si>
    <t>Payment Type</t>
  </si>
  <si>
    <t>UoM Type</t>
  </si>
  <si>
    <t>SR Code</t>
  </si>
  <si>
    <t>2-Digit Code</t>
  </si>
  <si>
    <t>3-Digit Code</t>
  </si>
  <si>
    <t>Username</t>
  </si>
  <si>
    <t>email</t>
  </si>
  <si>
    <t>Arcadia</t>
  </si>
  <si>
    <t>Zimbabwe</t>
  </si>
  <si>
    <t>Balance Date Specified</t>
  </si>
  <si>
    <t>Container</t>
  </si>
  <si>
    <t>Alan Wierciak</t>
  </si>
  <si>
    <t>AW</t>
  </si>
  <si>
    <t>Afghanistan</t>
  </si>
  <si>
    <t>AF</t>
  </si>
  <si>
    <t>AFG</t>
  </si>
  <si>
    <t>Andrew Earle</t>
  </si>
  <si>
    <t>andrew@puretradeafrica.com</t>
  </si>
  <si>
    <t>Beira</t>
  </si>
  <si>
    <t>Mozambique</t>
  </si>
  <si>
    <t>On Upliftment</t>
  </si>
  <si>
    <t>Each</t>
  </si>
  <si>
    <t>Bruce Thomas</t>
  </si>
  <si>
    <t>BT</t>
  </si>
  <si>
    <t>FOB</t>
  </si>
  <si>
    <t>Åland Islands</t>
  </si>
  <si>
    <t>AX</t>
  </si>
  <si>
    <t>ALA</t>
  </si>
  <si>
    <t>Start Month</t>
  </si>
  <si>
    <t>Cape Town</t>
  </si>
  <si>
    <t>South Africa</t>
  </si>
  <si>
    <t>Litre</t>
  </si>
  <si>
    <t>Christoff Serdyn</t>
  </si>
  <si>
    <t>CIF</t>
  </si>
  <si>
    <t>Albania</t>
  </si>
  <si>
    <t>AL</t>
  </si>
  <si>
    <t>ALB</t>
  </si>
  <si>
    <t>Chambishi</t>
  </si>
  <si>
    <t>Zambia</t>
  </si>
  <si>
    <t>DDP</t>
  </si>
  <si>
    <t>Algeria</t>
  </si>
  <si>
    <t>DZ</t>
  </si>
  <si>
    <t>DZA</t>
  </si>
  <si>
    <t>Chingola</t>
  </si>
  <si>
    <t>Pallet</t>
  </si>
  <si>
    <t>Gareth Louden</t>
  </si>
  <si>
    <t>GL</t>
  </si>
  <si>
    <t>CPT</t>
  </si>
  <si>
    <t>YN</t>
  </si>
  <si>
    <t>American Samoa</t>
  </si>
  <si>
    <t>AS</t>
  </si>
  <si>
    <t>ASM</t>
  </si>
  <si>
    <t>Dar Es Salaam</t>
  </si>
  <si>
    <t>Tanzania</t>
  </si>
  <si>
    <t>Truck</t>
  </si>
  <si>
    <t>Mitchell Caley</t>
  </si>
  <si>
    <t>MC</t>
  </si>
  <si>
    <t>FCA</t>
  </si>
  <si>
    <t>Yes</t>
  </si>
  <si>
    <t>Andorra</t>
  </si>
  <si>
    <t>AD</t>
  </si>
  <si>
    <t>AND</t>
  </si>
  <si>
    <t>Kg's</t>
  </si>
  <si>
    <t>Pat Cilliers</t>
  </si>
  <si>
    <t>EXW</t>
  </si>
  <si>
    <t>Angola</t>
  </si>
  <si>
    <t>AO</t>
  </si>
  <si>
    <t>AGO</t>
  </si>
  <si>
    <t>Germiston</t>
  </si>
  <si>
    <t>Thomas Vallee</t>
  </si>
  <si>
    <t>TV</t>
  </si>
  <si>
    <t>CFR</t>
  </si>
  <si>
    <t>Anguilla</t>
  </si>
  <si>
    <t>AI</t>
  </si>
  <si>
    <t>AIA</t>
  </si>
  <si>
    <t>Harare</t>
  </si>
  <si>
    <t>Quote Choice</t>
  </si>
  <si>
    <t>FAS</t>
  </si>
  <si>
    <t>Antarctica</t>
  </si>
  <si>
    <t>AQ</t>
  </si>
  <si>
    <t>ATA</t>
  </si>
  <si>
    <t>Johannesburg</t>
  </si>
  <si>
    <t>CIP</t>
  </si>
  <si>
    <t>Antigua and Barbuda</t>
  </si>
  <si>
    <t>AG</t>
  </si>
  <si>
    <t>ATG</t>
  </si>
  <si>
    <t>Kalongwe</t>
  </si>
  <si>
    <t>Democratic Republic of the Congo</t>
  </si>
  <si>
    <t>DPU</t>
  </si>
  <si>
    <t>Argentina</t>
  </si>
  <si>
    <t>AR</t>
  </si>
  <si>
    <t>ARG</t>
  </si>
  <si>
    <t>Kalumbilia</t>
  </si>
  <si>
    <t>Armenia</t>
  </si>
  <si>
    <t>AM</t>
  </si>
  <si>
    <t>ARM</t>
  </si>
  <si>
    <t>Kambove</t>
  </si>
  <si>
    <t>Aruba</t>
  </si>
  <si>
    <t>ABW</t>
  </si>
  <si>
    <t>Kisunfu</t>
  </si>
  <si>
    <t>Australia</t>
  </si>
  <si>
    <t>AU</t>
  </si>
  <si>
    <t>AUS</t>
  </si>
  <si>
    <t>Kitwe</t>
  </si>
  <si>
    <t>Austria</t>
  </si>
  <si>
    <t>AT</t>
  </si>
  <si>
    <t>AUT</t>
  </si>
  <si>
    <t>Azerbaijan</t>
  </si>
  <si>
    <t>AZ</t>
  </si>
  <si>
    <t>AZE</t>
  </si>
  <si>
    <t>Likasi</t>
  </si>
  <si>
    <t>Bahamas</t>
  </si>
  <si>
    <t>BS</t>
  </si>
  <si>
    <t>BHS</t>
  </si>
  <si>
    <t>Longsi</t>
  </si>
  <si>
    <t>Bahrain</t>
  </si>
  <si>
    <t>BH</t>
  </si>
  <si>
    <t>BHR</t>
  </si>
  <si>
    <t>Lualaba</t>
  </si>
  <si>
    <t>Bangladesh</t>
  </si>
  <si>
    <t>BD</t>
  </si>
  <si>
    <t>BGD</t>
  </si>
  <si>
    <t>Luanda</t>
  </si>
  <si>
    <t>Barbados</t>
  </si>
  <si>
    <t>BB</t>
  </si>
  <si>
    <t>BRB</t>
  </si>
  <si>
    <t>Luanshya</t>
  </si>
  <si>
    <t>Belarus</t>
  </si>
  <si>
    <t>BY</t>
  </si>
  <si>
    <t>BLR</t>
  </si>
  <si>
    <t>Lubumbashi</t>
  </si>
  <si>
    <t>BE</t>
  </si>
  <si>
    <t>BEL</t>
  </si>
  <si>
    <t>Luisha</t>
  </si>
  <si>
    <t>Belize</t>
  </si>
  <si>
    <t>BZ</t>
  </si>
  <si>
    <t>BLZ</t>
  </si>
  <si>
    <t>Lukuni</t>
  </si>
  <si>
    <t>Benin</t>
  </si>
  <si>
    <t>BJ</t>
  </si>
  <si>
    <t>BEN</t>
  </si>
  <si>
    <t>Lusaka</t>
  </si>
  <si>
    <t>Bermuda</t>
  </si>
  <si>
    <t>BM</t>
  </si>
  <si>
    <t>BMU</t>
  </si>
  <si>
    <t>Manono</t>
  </si>
  <si>
    <t>Bhutan</t>
  </si>
  <si>
    <t>BTN</t>
  </si>
  <si>
    <t>Masvingo</t>
  </si>
  <si>
    <t>Bolivia (Plurinational State of)</t>
  </si>
  <si>
    <t>BO</t>
  </si>
  <si>
    <t>BOL</t>
  </si>
  <si>
    <t>Mufulira</t>
  </si>
  <si>
    <t>Bonaire, Sint Eustatius and Saba</t>
  </si>
  <si>
    <t>BQ</t>
  </si>
  <si>
    <t>BES</t>
  </si>
  <si>
    <t>Mwenso</t>
  </si>
  <si>
    <t>Bosnia and Herzegovina</t>
  </si>
  <si>
    <t>BA</t>
  </si>
  <si>
    <t>BIH</t>
  </si>
  <si>
    <t>Nababeep</t>
  </si>
  <si>
    <t>Botswana</t>
  </si>
  <si>
    <t>BW</t>
  </si>
  <si>
    <t>BWA</t>
  </si>
  <si>
    <t>Ndola</t>
  </si>
  <si>
    <t>Bouvet Island</t>
  </si>
  <si>
    <t>BV</t>
  </si>
  <si>
    <t>BVT</t>
  </si>
  <si>
    <t>Pietermaritzburg</t>
  </si>
  <si>
    <t>Brazil</t>
  </si>
  <si>
    <t>BR</t>
  </si>
  <si>
    <t>BRA</t>
  </si>
  <si>
    <t>Pongola</t>
  </si>
  <si>
    <t>British Indian Ocean Territory</t>
  </si>
  <si>
    <t>IO</t>
  </si>
  <si>
    <t>IOT</t>
  </si>
  <si>
    <t>Sasolburg</t>
  </si>
  <si>
    <t>Brunei Darussalam</t>
  </si>
  <si>
    <t>BN</t>
  </si>
  <si>
    <t>BRN</t>
  </si>
  <si>
    <t>Secunda</t>
  </si>
  <si>
    <t>Bulgaria</t>
  </si>
  <si>
    <t>BG</t>
  </si>
  <si>
    <t>BGR</t>
  </si>
  <si>
    <t>Solwezi</t>
  </si>
  <si>
    <t>Burkina Faso</t>
  </si>
  <si>
    <t>BF</t>
  </si>
  <si>
    <t>BFA</t>
  </si>
  <si>
    <t>Swakop</t>
  </si>
  <si>
    <t>Namibia</t>
  </si>
  <si>
    <t>Burundi</t>
  </si>
  <si>
    <t>BI</t>
  </si>
  <si>
    <t>BDI</t>
  </si>
  <si>
    <t>Walvis Bay</t>
  </si>
  <si>
    <t>Cabo Verde</t>
  </si>
  <si>
    <t>CV</t>
  </si>
  <si>
    <t>CPV</t>
  </si>
  <si>
    <t>Witbank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</si>
  <si>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</si>
  <si>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</si>
  <si>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</si>
  <si>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</si>
  <si>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</si>
  <si>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</si>
  <si>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</si>
  <si>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</si>
  <si>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</si>
  <si>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</si>
  <si>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</si>
  <si>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</si>
  <si>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</si>
  <si>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</si>
  <si>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</si>
  <si>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</si>
  <si>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</si>
  <si>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</si>
  <si>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</si>
  <si>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</si>
  <si>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</si>
  <si>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</si>
  <si>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</si>
  <si>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</si>
  <si>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</si>
  <si>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</si>
  <si>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</si>
  <si>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</si>
  <si>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</si>
  <si>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</si>
  <si>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</si>
  <si>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</si>
  <si>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</si>
  <si>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</si>
  <si>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</si>
  <si>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</si>
  <si>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</si>
  <si>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</si>
  <si>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</si>
  <si>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</si>
  <si>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</si>
  <si>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</si>
  <si>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</si>
  <si>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</si>
  <si>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</si>
  <si>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</si>
  <si>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</si>
  <si>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</si>
  <si>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</si>
  <si>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</si>
  <si>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</si>
  <si>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</si>
  <si>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</si>
  <si>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</si>
  <si>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</si>
  <si>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</si>
  <si>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</si>
  <si>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</si>
  <si>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</si>
  <si>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</si>
  <si>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</si>
  <si>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</si>
  <si>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</si>
  <si>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</si>
  <si>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</si>
  <si>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</si>
  <si>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</si>
  <si>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</si>
  <si>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</si>
  <si>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</si>
  <si>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</si>
  <si>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</si>
  <si>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</si>
  <si>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</si>
  <si>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</si>
  <si>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DRC</t>
  </si>
  <si>
    <t>CD</t>
  </si>
  <si>
    <t>COD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</si>
  <si>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</si>
  <si>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</si>
  <si>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</si>
  <si>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</si>
  <si>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</si>
  <si>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</si>
  <si>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</si>
  <si>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</si>
  <si>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</si>
  <si>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</si>
  <si>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</si>
  <si>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</si>
  <si>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</si>
  <si>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</si>
  <si>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</si>
  <si>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</si>
  <si>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</si>
  <si>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</si>
  <si>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</si>
  <si>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</si>
  <si>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</si>
  <si>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</si>
  <si>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</si>
  <si>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</si>
  <si>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</si>
  <si>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</si>
  <si>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</si>
  <si>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</si>
  <si>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</si>
  <si>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</si>
  <si>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</si>
  <si>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</si>
  <si>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</si>
  <si>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</si>
  <si>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</si>
  <si>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</si>
  <si>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</si>
  <si>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</si>
  <si>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</si>
  <si>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</si>
  <si>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</si>
  <si>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</si>
  <si>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</si>
  <si>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</si>
  <si>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</si>
  <si>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</si>
  <si>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</si>
  <si>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</si>
  <si>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</si>
  <si>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</si>
  <si>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</si>
  <si>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</si>
  <si>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</si>
  <si>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</si>
  <si>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</si>
  <si>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</si>
  <si>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</si>
  <si>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</si>
  <si>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</si>
  <si>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</si>
  <si>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</si>
  <si>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</si>
  <si>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</si>
  <si>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</si>
  <si>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</si>
  <si>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</si>
  <si>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</si>
  <si>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</si>
  <si>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</si>
  <si>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</si>
  <si>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</si>
  <si>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</si>
  <si>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</si>
  <si>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</si>
  <si>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</si>
  <si>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</si>
  <si>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</si>
  <si>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</si>
  <si>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</si>
  <si>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</si>
  <si>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</si>
  <si>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</si>
  <si>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</si>
  <si>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</si>
  <si>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</si>
  <si>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</si>
  <si>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</si>
  <si>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</si>
  <si>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</si>
  <si>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</si>
  <si>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</si>
  <si>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</si>
  <si>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</si>
  <si>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</si>
  <si>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</si>
  <si>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</si>
  <si>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</si>
  <si>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</si>
  <si>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</si>
  <si>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</si>
  <si>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</si>
  <si>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</si>
  <si>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</si>
  <si>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</si>
  <si>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</si>
  <si>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</si>
  <si>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</si>
  <si>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</si>
  <si>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</si>
  <si>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</si>
  <si>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</si>
  <si>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</si>
  <si>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</si>
  <si>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</si>
  <si>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</si>
  <si>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</si>
  <si>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</si>
  <si>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</si>
  <si>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</si>
  <si>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</si>
  <si>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</si>
  <si>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</si>
  <si>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</si>
  <si>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</si>
  <si>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</si>
  <si>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</si>
  <si>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</si>
  <si>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</si>
  <si>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</si>
  <si>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</si>
  <si>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</si>
  <si>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</si>
  <si>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</si>
  <si>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</si>
  <si>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</si>
  <si>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</si>
  <si>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</si>
  <si>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</si>
  <si>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</si>
  <si>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</si>
  <si>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</si>
  <si>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</si>
  <si>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</si>
  <si>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</si>
  <si>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</si>
  <si>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</si>
  <si>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</si>
  <si>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</si>
  <si>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</si>
  <si>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</si>
  <si>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</si>
  <si>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</si>
  <si>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</si>
  <si>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</si>
  <si>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</si>
  <si>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</si>
  <si>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</si>
  <si>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</si>
  <si>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</si>
  <si>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</si>
  <si>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</si>
  <si>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</si>
  <si>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</si>
  <si>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</si>
  <si>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</si>
  <si>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</si>
  <si>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</si>
  <si>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</si>
  <si>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</si>
  <si>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</si>
  <si>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</si>
  <si>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</si>
  <si>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</si>
  <si>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</si>
  <si>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</si>
  <si>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</si>
  <si>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</si>
  <si>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</si>
  <si>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</si>
  <si>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</si>
  <si>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</si>
  <si>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</si>
  <si>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</si>
  <si>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</si>
  <si>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</si>
  <si>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</si>
  <si>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</si>
  <si>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</si>
  <si>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</si>
  <si>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</si>
  <si>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</si>
  <si>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</si>
  <si>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</si>
  <si>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</si>
  <si>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</si>
  <si>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</si>
  <si>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</si>
  <si>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</si>
  <si>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</si>
  <si>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</si>
  <si>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</si>
  <si>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</si>
  <si>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</si>
  <si>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</si>
  <si>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</si>
  <si>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</si>
  <si>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</si>
  <si>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</si>
  <si>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</si>
  <si>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</si>
  <si>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</si>
  <si>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</si>
  <si>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</si>
  <si>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</si>
  <si>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</si>
  <si>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</si>
  <si>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</si>
  <si>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</si>
  <si>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</si>
  <si>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</si>
  <si>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</si>
  <si>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</si>
  <si>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</si>
  <si>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</si>
  <si>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</si>
  <si>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</si>
  <si>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</si>
  <si>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</si>
  <si>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</si>
  <si>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</si>
  <si>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</si>
  <si>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</si>
  <si>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</si>
  <si>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</si>
  <si>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</si>
  <si>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</si>
  <si>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</si>
  <si>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</si>
  <si>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</si>
  <si>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</si>
  <si>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</si>
  <si>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</si>
  <si>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</si>
  <si>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</si>
  <si>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</si>
  <si>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</si>
  <si>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</si>
  <si>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</si>
  <si>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</si>
  <si>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</si>
  <si>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</si>
  <si>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</si>
  <si>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</si>
  <si>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</si>
  <si>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</si>
  <si>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</si>
  <si>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</si>
  <si>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MZ</t>
  </si>
  <si>
    <t>MOZ</t>
  </si>
  <si>
    <t>Myanmar</t>
  </si>
  <si>
    <t>MM</t>
  </si>
  <si>
    <t>MMR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</si>
  <si>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</si>
  <si>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</si>
  <si>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</si>
  <si>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</si>
  <si>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</si>
  <si>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</si>
  <si>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</si>
  <si>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</si>
  <si>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</si>
  <si>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</si>
  <si>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</si>
  <si>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</si>
  <si>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</si>
  <si>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</si>
  <si>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</si>
  <si>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</si>
  <si>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</si>
  <si>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</si>
  <si>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</si>
  <si>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</si>
  <si>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</si>
  <si>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</si>
  <si>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</si>
  <si>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</si>
  <si>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</si>
  <si>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</si>
  <si>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</si>
  <si>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</si>
  <si>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</si>
  <si>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</si>
  <si>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</si>
  <si>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</si>
  <si>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 Macedonia</t>
  </si>
  <si>
    <t>MK</t>
  </si>
  <si>
    <t>MKD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</si>
  <si>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</si>
  <si>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</si>
  <si>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</si>
  <si>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</si>
  <si>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</si>
  <si>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</si>
  <si>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</si>
  <si>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</si>
  <si>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</si>
  <si>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Open (Excluding Iran &amp; Russia)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</si>
  <si>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</si>
  <si>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</si>
  <si>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</si>
  <si>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</si>
  <si>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</si>
  <si>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</si>
  <si>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</si>
  <si>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</si>
  <si>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</si>
  <si>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</si>
  <si>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</si>
  <si>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</si>
  <si>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</si>
  <si>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</si>
  <si>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</si>
  <si>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</si>
  <si>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</si>
  <si>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</si>
  <si>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</si>
  <si>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</si>
  <si>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</si>
  <si>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</si>
  <si>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</si>
  <si>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</si>
  <si>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</si>
  <si>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</si>
  <si>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</si>
  <si>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</si>
  <si>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</si>
  <si>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</si>
  <si>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</si>
  <si>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</si>
  <si>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</si>
  <si>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</si>
  <si>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</si>
  <si>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</si>
  <si>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</si>
  <si>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</si>
  <si>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</si>
  <si>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</si>
  <si>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</si>
  <si>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</si>
  <si>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</si>
  <si>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</si>
  <si>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</si>
  <si>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</si>
  <si>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</si>
  <si>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</si>
  <si>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</si>
  <si>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</si>
  <si>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</si>
  <si>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</si>
  <si>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</si>
  <si>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</si>
  <si>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</si>
  <si>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</si>
  <si>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</si>
  <si>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</si>
  <si>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</si>
  <si>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</si>
  <si>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</si>
  <si>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</si>
  <si>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</si>
  <si>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</si>
  <si>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</si>
  <si>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</si>
  <si>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</si>
  <si>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</si>
  <si>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</si>
  <si>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</si>
  <si>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</si>
  <si>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</si>
  <si>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</si>
  <si>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</si>
  <si>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</si>
  <si>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</si>
  <si>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</si>
  <si>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</si>
  <si>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</si>
  <si>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</si>
  <si>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</si>
  <si>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</si>
  <si>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</si>
  <si>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</si>
  <si>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</si>
  <si>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</si>
  <si>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</si>
  <si>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</si>
  <si>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</si>
  <si>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</si>
  <si>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</si>
  <si>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</si>
  <si>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</si>
  <si>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</si>
  <si>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</si>
  <si>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</si>
  <si>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</si>
  <si>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</si>
  <si>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</si>
  <si>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</si>
  <si>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</si>
  <si>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</si>
  <si>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</si>
  <si>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</si>
  <si>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</si>
  <si>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</si>
  <si>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</si>
  <si>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</si>
  <si>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</si>
  <si>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</si>
  <si>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</si>
  <si>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</si>
  <si>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</si>
  <si>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</si>
  <si>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</si>
  <si>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</si>
  <si>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</si>
  <si>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</si>
  <si>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</si>
  <si>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</si>
  <si>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</si>
  <si>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</si>
  <si>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</si>
  <si>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</si>
  <si>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</si>
  <si>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</si>
  <si>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</si>
  <si>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</si>
  <si>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</si>
  <si>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</si>
  <si>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</si>
  <si>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</si>
  <si>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</si>
  <si>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</si>
  <si>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</si>
  <si>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</si>
  <si>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</si>
  <si>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</si>
  <si>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</si>
  <si>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</si>
  <si>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</si>
  <si>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</si>
  <si>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</si>
  <si>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</si>
  <si>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</si>
  <si>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</si>
  <si>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</si>
  <si>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</si>
  <si>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</si>
  <si>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</si>
  <si>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</si>
  <si>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</si>
  <si>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</si>
  <si>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</si>
  <si>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</si>
  <si>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</si>
  <si>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</si>
  <si>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</si>
  <si>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</si>
  <si>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</si>
  <si>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</si>
  <si>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</si>
  <si>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</si>
  <si>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</si>
  <si>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</si>
  <si>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</si>
  <si>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</si>
  <si>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</si>
  <si>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</si>
  <si>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</si>
  <si>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</si>
  <si>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</si>
  <si>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</si>
  <si>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</si>
  <si>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</si>
  <si>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</si>
  <si>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</si>
  <si>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</si>
  <si>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</si>
  <si>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</si>
  <si>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</si>
  <si>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</si>
  <si>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</si>
  <si>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</si>
  <si>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</si>
  <si>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</si>
  <si>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</si>
  <si>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</si>
  <si>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</si>
  <si>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</si>
  <si>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</si>
  <si>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</si>
  <si>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</si>
  <si>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</si>
  <si>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</si>
  <si>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</si>
  <si>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 of Great Britain and Northern Ireland</t>
  </si>
  <si>
    <t>GB</t>
  </si>
  <si>
    <t>GBR</t>
  </si>
  <si>
    <t>United States of America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</si>
  <si>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</si>
  <si>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</si>
  <si>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</si>
  <si>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</si>
  <si>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</si>
  <si>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</si>
  <si>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</si>
  <si>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</si>
  <si>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</si>
  <si>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</si>
  <si>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</si>
  <si>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</si>
  <si>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</si>
  <si>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</si>
  <si>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</si>
  <si>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</si>
  <si>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</si>
  <si>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</si>
  <si>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</si>
  <si>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</si>
  <si>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</si>
  <si>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</si>
  <si>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</si>
  <si>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</si>
  <si>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</si>
  <si>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</si>
  <si>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</si>
  <si>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</si>
  <si>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</si>
  <si>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</si>
  <si>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</si>
  <si>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</si>
  <si>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ZM</t>
  </si>
  <si>
    <t>ZMB</t>
  </si>
  <si>
    <t>ZW</t>
  </si>
  <si>
    <t>ZWE</t>
  </si>
  <si>
    <t>City</t>
  </si>
  <si>
    <t>Richards Bay</t>
  </si>
  <si>
    <t>Windhoek</t>
  </si>
  <si>
    <t>Sodium Sulphide</t>
  </si>
  <si>
    <t>Sulphur</t>
  </si>
  <si>
    <t>Sulphuric Acid</t>
  </si>
  <si>
    <t>Gaborone</t>
  </si>
  <si>
    <t>Tsumeb</t>
  </si>
  <si>
    <t>Maputo</t>
  </si>
  <si>
    <t>Delivery Period</t>
  </si>
  <si>
    <t>Deal No</t>
  </si>
  <si>
    <t>Exchange</t>
  </si>
  <si>
    <t>Other Cost</t>
  </si>
  <si>
    <t>QUO10001</t>
  </si>
  <si>
    <t>Zenith Engineering</t>
  </si>
  <si>
    <t>C100</t>
  </si>
  <si>
    <t>BluePeak Foods</t>
  </si>
  <si>
    <t>C099</t>
  </si>
  <si>
    <t>Fusion Retail</t>
  </si>
  <si>
    <t>C098</t>
  </si>
  <si>
    <t>Quantum Chemicals</t>
  </si>
  <si>
    <t>C097</t>
  </si>
  <si>
    <t>Horizon Logistics</t>
  </si>
  <si>
    <t>C096</t>
  </si>
  <si>
    <t>Titan Media</t>
  </si>
  <si>
    <t>C095</t>
  </si>
  <si>
    <t>Apex Supplies</t>
  </si>
  <si>
    <t>C094</t>
  </si>
  <si>
    <t>Nova Textiles</t>
  </si>
  <si>
    <t>C093</t>
  </si>
  <si>
    <t>Stellar Freight</t>
  </si>
  <si>
    <t>C092</t>
  </si>
  <si>
    <t>Fusion Foods</t>
  </si>
  <si>
    <t>C091</t>
  </si>
  <si>
    <t>Quantum Engineering</t>
  </si>
  <si>
    <t>C090</t>
  </si>
  <si>
    <t>Omega Distribution</t>
  </si>
  <si>
    <t>C089</t>
  </si>
  <si>
    <t>Horizon Industrial</t>
  </si>
  <si>
    <t>C088</t>
  </si>
  <si>
    <t>Titan Construction</t>
  </si>
  <si>
    <t>C087</t>
  </si>
  <si>
    <t>Apex Medical</t>
  </si>
  <si>
    <t>C086</t>
  </si>
  <si>
    <t>Nova Contractors</t>
  </si>
  <si>
    <t>C085</t>
  </si>
  <si>
    <t>Stellar Supplies</t>
  </si>
  <si>
    <t>C084</t>
  </si>
  <si>
    <t>Quantum Retail</t>
  </si>
  <si>
    <t>C083</t>
  </si>
  <si>
    <t>Fusion Consulting</t>
  </si>
  <si>
    <t>C082</t>
  </si>
  <si>
    <t>Delta Foods</t>
  </si>
  <si>
    <t>C081</t>
  </si>
  <si>
    <t>BrightWave Media</t>
  </si>
  <si>
    <t>C080</t>
  </si>
  <si>
    <t>Silverline Logistics</t>
  </si>
  <si>
    <t>C079</t>
  </si>
  <si>
    <t>Vector Electronics</t>
  </si>
  <si>
    <t>C078</t>
  </si>
  <si>
    <t>Apex Freight</t>
  </si>
  <si>
    <t>C077</t>
  </si>
  <si>
    <t>Titan Textiles</t>
  </si>
  <si>
    <t>C076</t>
  </si>
  <si>
    <t>Horizon Chemicals</t>
  </si>
  <si>
    <t>C075</t>
  </si>
  <si>
    <t>Nova Engineering</t>
  </si>
  <si>
    <t>C074</t>
  </si>
  <si>
    <t>Omega Retail Group</t>
  </si>
  <si>
    <t>C073</t>
  </si>
  <si>
    <t>Stellar Transport</t>
  </si>
  <si>
    <t>C072</t>
  </si>
  <si>
    <t>BluePeak Manufacturing</t>
  </si>
  <si>
    <t>C071</t>
  </si>
  <si>
    <t>Fusion Motors</t>
  </si>
  <si>
    <t>C070</t>
  </si>
  <si>
    <t>Apex Foods Ltd</t>
  </si>
  <si>
    <t>C069</t>
  </si>
  <si>
    <t>Quantum Builders</t>
  </si>
  <si>
    <t>C068</t>
  </si>
  <si>
    <t>Orion Freight Co</t>
  </si>
  <si>
    <t>C067</t>
  </si>
  <si>
    <t>Vanguard Consulting</t>
  </si>
  <si>
    <t>C066</t>
  </si>
  <si>
    <t>Nova Industrial</t>
  </si>
  <si>
    <t>C065</t>
  </si>
  <si>
    <t>Horizon Media</t>
  </si>
  <si>
    <t>C064</t>
  </si>
  <si>
    <t>SkyLine Distribution</t>
  </si>
  <si>
    <t>C063</t>
  </si>
  <si>
    <t>Delta Construction</t>
  </si>
  <si>
    <t>C062</t>
  </si>
  <si>
    <t>Titan Logistics</t>
  </si>
  <si>
    <t>C061</t>
  </si>
  <si>
    <t>BrightWave Retail</t>
  </si>
  <si>
    <t>C060</t>
  </si>
  <si>
    <t>Apex Transport</t>
  </si>
  <si>
    <t>C059</t>
  </si>
  <si>
    <t>Nova Chemical</t>
  </si>
  <si>
    <t>C058</t>
  </si>
  <si>
    <t>Quantum Textiles</t>
  </si>
  <si>
    <t>C057</t>
  </si>
  <si>
    <t>Stellar IT Services</t>
  </si>
  <si>
    <t>C056</t>
  </si>
  <si>
    <t>BluePeak Logistics</t>
  </si>
  <si>
    <t>C055</t>
  </si>
  <si>
    <t>Vertex Machinery</t>
  </si>
  <si>
    <t>C054</t>
  </si>
  <si>
    <t>Aurora Interiors</t>
  </si>
  <si>
    <t>C053</t>
  </si>
  <si>
    <t>Glacier Mining Co</t>
  </si>
  <si>
    <t>C052</t>
  </si>
  <si>
    <t>Radiant Retail</t>
  </si>
  <si>
    <t>C051</t>
  </si>
  <si>
    <t>Titan Power Systems</t>
  </si>
  <si>
    <t>C050</t>
  </si>
  <si>
    <t>Pinnacle Pharma</t>
  </si>
  <si>
    <t>C049</t>
  </si>
  <si>
    <t>Zenith Consulting</t>
  </si>
  <si>
    <t>C048</t>
  </si>
  <si>
    <t>Nova Freight Lines</t>
  </si>
  <si>
    <t>C047</t>
  </si>
  <si>
    <t>Orion Manufacturing</t>
  </si>
  <si>
    <t>C046</t>
  </si>
  <si>
    <t>EcoHarvest Foods</t>
  </si>
  <si>
    <t>C045</t>
  </si>
  <si>
    <t>Apex Builders</t>
  </si>
  <si>
    <t>C044</t>
  </si>
  <si>
    <t>Summit Electronics</t>
  </si>
  <si>
    <t>C043</t>
  </si>
  <si>
    <t>Nexa Retail Group</t>
  </si>
  <si>
    <t>C042</t>
  </si>
  <si>
    <t>Quantum Freight</t>
  </si>
  <si>
    <t>C041</t>
  </si>
  <si>
    <t>Vanguard Motors</t>
  </si>
  <si>
    <t>C040</t>
  </si>
  <si>
    <t>Stellar Distribution</t>
  </si>
  <si>
    <t>C039</t>
  </si>
  <si>
    <t>Omega Beverages</t>
  </si>
  <si>
    <t>C038</t>
  </si>
  <si>
    <t>Fusion Plastics</t>
  </si>
  <si>
    <t>C037</t>
  </si>
  <si>
    <t>NovaPrint Graphics</t>
  </si>
  <si>
    <t>C036</t>
  </si>
  <si>
    <t>GreenPath Agriculture</t>
  </si>
  <si>
    <t>C035</t>
  </si>
  <si>
    <t>Stratos Logistics</t>
  </si>
  <si>
    <t>C034</t>
  </si>
  <si>
    <t>Harbor Marine Ltd</t>
  </si>
  <si>
    <t>C033</t>
  </si>
  <si>
    <t>Ember Foods</t>
  </si>
  <si>
    <t>C032</t>
  </si>
  <si>
    <t>Polar Steelworks</t>
  </si>
  <si>
    <t>C031</t>
  </si>
  <si>
    <t>Atlas Engineering</t>
  </si>
  <si>
    <t>C030</t>
  </si>
  <si>
    <t>Crestline Interiors</t>
  </si>
  <si>
    <t>C029</t>
  </si>
  <si>
    <t>Luna Catering</t>
  </si>
  <si>
    <t>C028</t>
  </si>
  <si>
    <t>Granite Mining Co</t>
  </si>
  <si>
    <t>C027</t>
  </si>
  <si>
    <t>BrightWave Trading</t>
  </si>
  <si>
    <t>C026</t>
  </si>
  <si>
    <t>Delta Transport</t>
  </si>
  <si>
    <t>C025</t>
  </si>
  <si>
    <t>Vector Supplies</t>
  </si>
  <si>
    <t>C024</t>
  </si>
  <si>
    <t>Orion Textiles</t>
  </si>
  <si>
    <t>C023</t>
  </si>
  <si>
    <t>Blue Horizon Media</t>
  </si>
  <si>
    <t>C022</t>
  </si>
  <si>
    <t>Solis Distribution</t>
  </si>
  <si>
    <t>C021</t>
  </si>
  <si>
    <t>Evergreen Foods</t>
  </si>
  <si>
    <t>C020</t>
  </si>
  <si>
    <t>Titan Plastics</t>
  </si>
  <si>
    <t>C019</t>
  </si>
  <si>
    <t>Northstar Chemical</t>
  </si>
  <si>
    <t>C018</t>
  </si>
  <si>
    <t>Skyline Apparel</t>
  </si>
  <si>
    <t>C017</t>
  </si>
  <si>
    <t>Rapid Freight</t>
  </si>
  <si>
    <t>C016</t>
  </si>
  <si>
    <t>Fusion Electronics</t>
  </si>
  <si>
    <t>C015</t>
  </si>
  <si>
    <t>NextWave Retail</t>
  </si>
  <si>
    <t>C014</t>
  </si>
  <si>
    <t>Quantum Drinks</t>
  </si>
  <si>
    <t>C013</t>
  </si>
  <si>
    <t>Vertex Consulting</t>
  </si>
  <si>
    <t>C012</t>
  </si>
  <si>
    <t>Alpha Contractors</t>
  </si>
  <si>
    <t>C011</t>
  </si>
  <si>
    <t>Coreline Medical</t>
  </si>
  <si>
    <t>C010</t>
  </si>
  <si>
    <t>Omega Textiles</t>
  </si>
  <si>
    <t>C009</t>
  </si>
  <si>
    <t>Stellar Energy</t>
  </si>
  <si>
    <t>C008</t>
  </si>
  <si>
    <t>Meridian Supplies</t>
  </si>
  <si>
    <t>C007</t>
  </si>
  <si>
    <t>Urban Build Co</t>
  </si>
  <si>
    <t>C006</t>
  </si>
  <si>
    <t>NovaTech Systems</t>
  </si>
  <si>
    <t>C005</t>
  </si>
  <si>
    <t>BluePeak Retail</t>
  </si>
  <si>
    <t>C004</t>
  </si>
  <si>
    <t>Silverline Manufacturing</t>
  </si>
  <si>
    <t>C003</t>
  </si>
  <si>
    <t>Horizon Foods</t>
  </si>
  <si>
    <t>C002</t>
  </si>
  <si>
    <t>Apex Logistics Ltd</t>
  </si>
  <si>
    <t>C001</t>
  </si>
  <si>
    <t>Client Name</t>
  </si>
  <si>
    <t>Client ID</t>
  </si>
  <si>
    <t>Product Ref</t>
  </si>
  <si>
    <t>P001</t>
  </si>
  <si>
    <t>99.9% Pure Granular</t>
  </si>
  <si>
    <t>P002</t>
  </si>
  <si>
    <t>Sodium Sulphate</t>
  </si>
  <si>
    <t>Anhydrous, Industrial Grade</t>
  </si>
  <si>
    <t>P003</t>
  </si>
  <si>
    <t>Ammonium Sulphate</t>
  </si>
  <si>
    <t>Fertilizer Grade</t>
  </si>
  <si>
    <t>P004</t>
  </si>
  <si>
    <t>98% Concentration</t>
  </si>
  <si>
    <t>P005</t>
  </si>
  <si>
    <t>Calcium Sulphate</t>
  </si>
  <si>
    <t>Dihydrate (Gypsum)</t>
  </si>
  <si>
    <t>P006</t>
  </si>
  <si>
    <t>Potassium Sulphate</t>
  </si>
  <si>
    <t>Agricultural Grade</t>
  </si>
  <si>
    <t>P007</t>
  </si>
  <si>
    <t>Ferrous Sulphate</t>
  </si>
  <si>
    <t>Heptahydrate, Technical Grade</t>
  </si>
  <si>
    <t>P008</t>
  </si>
  <si>
    <t>Aluminium Sulphate</t>
  </si>
  <si>
    <t>Granular, Water Treatment Grade</t>
  </si>
  <si>
    <t>P009</t>
  </si>
  <si>
    <t>Copper Sulphate</t>
  </si>
  <si>
    <t>Pentahydrate, Industrial</t>
  </si>
  <si>
    <t>P010</t>
  </si>
  <si>
    <t>Zinc Sulphate</t>
  </si>
  <si>
    <t>Monohydrate, Technical</t>
  </si>
  <si>
    <t>P011</t>
  </si>
  <si>
    <t>Sodium Thiosulphate</t>
  </si>
  <si>
    <t>Pentahydrate</t>
  </si>
  <si>
    <t>P012</t>
  </si>
  <si>
    <t>Flakes, 60%</t>
  </si>
  <si>
    <t>P013</t>
  </si>
  <si>
    <t>Sulphur Dioxide</t>
  </si>
  <si>
    <t>Compressed Gas, Industrial</t>
  </si>
  <si>
    <t>P014</t>
  </si>
  <si>
    <t>Sulphur Black Dye</t>
  </si>
  <si>
    <t>Textile Grade</t>
  </si>
  <si>
    <t>P015</t>
  </si>
  <si>
    <t>Sulphur Bentonite</t>
  </si>
  <si>
    <t>90% Sulphur Prilled</t>
  </si>
  <si>
    <t>P016</t>
  </si>
  <si>
    <t>Sodium Bisulphite</t>
  </si>
  <si>
    <t>98% Min, Food Grade</t>
  </si>
  <si>
    <t>P017</t>
  </si>
  <si>
    <t>Sodium Metabisulphite</t>
  </si>
  <si>
    <t>Industrial Grade</t>
  </si>
  <si>
    <t>P018</t>
  </si>
  <si>
    <t>Ammonium Bisulphite</t>
  </si>
  <si>
    <t>65% Solution</t>
  </si>
  <si>
    <t>P019</t>
  </si>
  <si>
    <t>Magnesium Sulphate</t>
  </si>
  <si>
    <t>Heptahydrate, Fertilizer Grade</t>
  </si>
  <si>
    <t>P020</t>
  </si>
  <si>
    <t>Calcium Polysulphide</t>
  </si>
  <si>
    <t>29% Solution</t>
  </si>
  <si>
    <t>P021</t>
  </si>
  <si>
    <t>Sulphur Powder</t>
  </si>
  <si>
    <t>99.5% Fine Powder</t>
  </si>
  <si>
    <t>P022</t>
  </si>
  <si>
    <t>Sodium Sulphite</t>
  </si>
  <si>
    <t>97% Pure, Technical Grade</t>
  </si>
  <si>
    <t>P023</t>
  </si>
  <si>
    <t>Potassium Metabisulphite</t>
  </si>
  <si>
    <t>Food Preservative Grade</t>
  </si>
  <si>
    <t>P024</t>
  </si>
  <si>
    <t>Iron (II) Sulphide</t>
  </si>
  <si>
    <t>Lump, Industrial Use</t>
  </si>
  <si>
    <t>P025</t>
  </si>
  <si>
    <t>Sulphur Hexafluoride</t>
  </si>
  <si>
    <t>Electronic Grade Gas</t>
  </si>
  <si>
    <t>2503.00</t>
  </si>
  <si>
    <t>2807.00</t>
  </si>
  <si>
    <t>2520.10</t>
  </si>
  <si>
    <t>3104.30</t>
  </si>
  <si>
    <t>2832.30</t>
  </si>
  <si>
    <t>2830.10</t>
  </si>
  <si>
    <t>2832.10</t>
  </si>
  <si>
    <t>2830.90</t>
  </si>
  <si>
    <t>Single</t>
  </si>
  <si>
    <t>Mukumbi Copper Mine</t>
  </si>
  <si>
    <t>Kariba Minerals Warehouse</t>
  </si>
  <si>
    <t>Livingstone</t>
  </si>
  <si>
    <t>Tuli Logistics Depot</t>
  </si>
  <si>
    <t>Mzimba Grain Warehouse</t>
  </si>
  <si>
    <t>Mzimba</t>
  </si>
  <si>
    <t>Katanga Ore Yard</t>
  </si>
  <si>
    <t>D.R. Congo</t>
  </si>
  <si>
    <t>Maputo Bulk Storage</t>
  </si>
  <si>
    <t>Okavango Minerals Hub</t>
  </si>
  <si>
    <t>Maun</t>
  </si>
  <si>
    <t>Grootfontein Mining Depot</t>
  </si>
  <si>
    <t>Grootfontein</t>
  </si>
  <si>
    <t>Beira Chemical Storage</t>
  </si>
  <si>
    <t>Kasumbalesa Transit Yard</t>
  </si>
  <si>
    <t>Kasumbalesa</t>
  </si>
  <si>
    <t>Lilongwe Trade Warehouse</t>
  </si>
  <si>
    <t>Lilongwe</t>
  </si>
  <si>
    <t>Ndola Metal Works</t>
  </si>
  <si>
    <t>Mufulira Processing Plant</t>
  </si>
  <si>
    <t>Francistown Distribution Depot</t>
  </si>
  <si>
    <t>Francistown</t>
  </si>
  <si>
    <t>Tete Industrial Park</t>
  </si>
  <si>
    <t>Tete</t>
  </si>
  <si>
    <t>Blantyre Logistics Hub</t>
  </si>
  <si>
    <t>Blantyre</t>
  </si>
  <si>
    <t>Palapye Mine Services</t>
  </si>
  <si>
    <t>Palapye</t>
  </si>
  <si>
    <t>Kitwe Steel Warehouse</t>
  </si>
  <si>
    <t>Walvis Bay Port Storage</t>
  </si>
  <si>
    <t>Solwezi Gold Plant</t>
  </si>
  <si>
    <t>Musina Minerals Yard</t>
  </si>
  <si>
    <t>Musina</t>
  </si>
  <si>
    <t>Rustenburg Ore Warehouse</t>
  </si>
  <si>
    <t>Rustenburg</t>
  </si>
  <si>
    <t>Richards Bay Chemical Terminal</t>
  </si>
  <si>
    <t>Kimberley Diamond Yard</t>
  </si>
  <si>
    <t>Kimberley</t>
  </si>
  <si>
    <t>Polokwane Industrial Storage</t>
  </si>
  <si>
    <t>Polokwane</t>
  </si>
  <si>
    <t>Lusaka General Warehouse</t>
  </si>
  <si>
    <t>Kolwezi Cobalt Mine</t>
  </si>
  <si>
    <t>Chibombo Distribution Centre</t>
  </si>
  <si>
    <t>Chibombo</t>
  </si>
  <si>
    <t>Choma Agricultural Warehouse</t>
  </si>
  <si>
    <t>Choma</t>
  </si>
  <si>
    <t>Windhoek Industrial Park</t>
  </si>
  <si>
    <t>Nampula Logistics Yard</t>
  </si>
  <si>
    <t>Nampula</t>
  </si>
  <si>
    <t>Morogoro Trade Hub</t>
  </si>
  <si>
    <t>Morogoro</t>
  </si>
  <si>
    <t>Dar es Salaam Export Warehouse</t>
  </si>
  <si>
    <t>Dar es Salaam</t>
  </si>
  <si>
    <t>Kasama Mining Supply</t>
  </si>
  <si>
    <t>Kasama</t>
  </si>
  <si>
    <t>Mbeya Stone Works</t>
  </si>
  <si>
    <t>Mbeya</t>
  </si>
  <si>
    <t>Luanda Mineral Export Yard</t>
  </si>
  <si>
    <t>Ondangwa Industrial Storage</t>
  </si>
  <si>
    <t>Ondangwa</t>
  </si>
  <si>
    <t>Mutare Grain Terminal</t>
  </si>
  <si>
    <t>Mutare</t>
  </si>
  <si>
    <t>Bulawayo Metals Depot</t>
  </si>
  <si>
    <t>Bulawayo</t>
  </si>
  <si>
    <t>Gweru Supply Warehouse</t>
  </si>
  <si>
    <t>Gweru</t>
  </si>
  <si>
    <t>Chiredzi Logistics Park</t>
  </si>
  <si>
    <t>Chiredzi</t>
  </si>
  <si>
    <t>Harare Export Hub</t>
  </si>
  <si>
    <t>Beitbridge Border Warehouse</t>
  </si>
  <si>
    <t>Beitbridge</t>
  </si>
  <si>
    <t>Lobito Port Yard</t>
  </si>
  <si>
    <t>Lobito</t>
  </si>
  <si>
    <t>Likasi Ore Processing Plant</t>
  </si>
  <si>
    <t>Chipata Border Storage</t>
  </si>
  <si>
    <t>Chipata</t>
  </si>
  <si>
    <t>Tsumeb Smelting Facility</t>
  </si>
  <si>
    <t>Sesheke River Port</t>
  </si>
  <si>
    <t>Sesheke</t>
  </si>
  <si>
    <t>Binga Lake Transport Depot</t>
  </si>
  <si>
    <t>Binga</t>
  </si>
  <si>
    <t>Katima Mulilo Transit Hub</t>
  </si>
  <si>
    <t>Katima Mulilo</t>
  </si>
  <si>
    <t>Durban Port</t>
  </si>
  <si>
    <t>Standard</t>
  </si>
  <si>
    <t>CALC2000</t>
  </si>
  <si>
    <t>PCK001</t>
  </si>
  <si>
    <t>1 MT Bulk Bags</t>
  </si>
  <si>
    <t>50 kg Polypropylene Bags</t>
  </si>
  <si>
    <t>25 kg Paper Sacks</t>
  </si>
  <si>
    <t>Wooden Pallets</t>
  </si>
  <si>
    <t>Plastic Pallets</t>
  </si>
  <si>
    <t>200 L Steel Drums</t>
  </si>
  <si>
    <t>210 L Plastic Drums</t>
  </si>
  <si>
    <t>IBC Totes (1000 L)</t>
  </si>
  <si>
    <t>Bulk Tanker (Liquid)</t>
  </si>
  <si>
    <t>20 ft Container</t>
  </si>
  <si>
    <t>40 ft Container</t>
  </si>
  <si>
    <t>Jumbo Bags (1.5 MT)</t>
  </si>
  <si>
    <t>Shrink-Wrapped Pallets</t>
  </si>
  <si>
    <t>Loose Bulk (Tipper Truck)</t>
  </si>
  <si>
    <t>Super Sacks (750 kg)</t>
  </si>
  <si>
    <t>PCK002</t>
  </si>
  <si>
    <t>PCK003</t>
  </si>
  <si>
    <t>PCK004</t>
  </si>
  <si>
    <t>PCK005</t>
  </si>
  <si>
    <t>PCK006</t>
  </si>
  <si>
    <t>PCK007</t>
  </si>
  <si>
    <t>PCK008</t>
  </si>
  <si>
    <t>PCK009</t>
  </si>
  <si>
    <t>PCK010</t>
  </si>
  <si>
    <t>PCK011</t>
  </si>
  <si>
    <t>PCK012</t>
  </si>
  <si>
    <t>PCK013</t>
  </si>
  <si>
    <t>PCK014</t>
  </si>
  <si>
    <t>PCK015</t>
  </si>
  <si>
    <t>PCK016</t>
  </si>
  <si>
    <t>Pack ID</t>
  </si>
  <si>
    <t>1.2 MT Bulk Bags</t>
  </si>
  <si>
    <t>Country Code</t>
  </si>
  <si>
    <t>Country Name</t>
  </si>
  <si>
    <t>Côte d’Ivoire</t>
  </si>
  <si>
    <t>South Korea</t>
  </si>
  <si>
    <t>Vietnam</t>
  </si>
  <si>
    <t>Iran</t>
  </si>
  <si>
    <t>Russia</t>
  </si>
  <si>
    <t>United States</t>
  </si>
  <si>
    <t>Transport ID</t>
  </si>
  <si>
    <t>T001</t>
  </si>
  <si>
    <t>TransAfrica Logistics</t>
  </si>
  <si>
    <t>T002</t>
  </si>
  <si>
    <t>BlueLine Freight Services</t>
  </si>
  <si>
    <t>T003</t>
  </si>
  <si>
    <t>Global Cargo Movers</t>
  </si>
  <si>
    <t>T004</t>
  </si>
  <si>
    <t>Frontier Haulage</t>
  </si>
  <si>
    <t>T005</t>
  </si>
  <si>
    <t>Zambezi Transport Co.</t>
  </si>
  <si>
    <t>T006</t>
  </si>
  <si>
    <t>RapidRoute Logistics</t>
  </si>
  <si>
    <t>T007</t>
  </si>
  <si>
    <t>Atlas Freight Forwarders</t>
  </si>
  <si>
    <t>T008</t>
  </si>
  <si>
    <t>PanLink Transport</t>
  </si>
  <si>
    <t>T009</t>
  </si>
  <si>
    <t>Delta Haulage &amp; Warehousing</t>
  </si>
  <si>
    <t>T010</t>
  </si>
  <si>
    <t>Makonde Freight Lines</t>
  </si>
  <si>
    <t>T011</t>
  </si>
  <si>
    <t>Horizon Cargo Solutions</t>
  </si>
  <si>
    <t>T012</t>
  </si>
  <si>
    <t>Unity Transport Group</t>
  </si>
  <si>
    <t>T013</t>
  </si>
  <si>
    <t>IronHorse Haulage</t>
  </si>
  <si>
    <t>T014</t>
  </si>
  <si>
    <t>SouthCross Logistics</t>
  </si>
  <si>
    <t>T015</t>
  </si>
  <si>
    <t>Kariba Freight Services</t>
  </si>
  <si>
    <t>T016</t>
  </si>
  <si>
    <t>Phoenix Cargo Carriers</t>
  </si>
  <si>
    <t>T017</t>
  </si>
  <si>
    <t>Savannah Logistics</t>
  </si>
  <si>
    <t>T018</t>
  </si>
  <si>
    <t>RouteOne Transport</t>
  </si>
  <si>
    <t>T019</t>
  </si>
  <si>
    <t>Kudu Freight Forwarding</t>
  </si>
  <si>
    <t>T020</t>
  </si>
  <si>
    <t>PrimeHaul Logistics</t>
  </si>
  <si>
    <t>T021</t>
  </si>
  <si>
    <t>Platinum Cargo Express</t>
  </si>
  <si>
    <t>T022</t>
  </si>
  <si>
    <t>Equator Transport Co.</t>
  </si>
  <si>
    <t>T023</t>
  </si>
  <si>
    <t>WestCape Freight Lines</t>
  </si>
  <si>
    <t>T024</t>
  </si>
  <si>
    <t>MetroHaul Logistics</t>
  </si>
  <si>
    <t>T025</t>
  </si>
  <si>
    <t>Rhino Global Transport</t>
  </si>
  <si>
    <t>City Code</t>
  </si>
  <si>
    <t>City Name</t>
  </si>
  <si>
    <t>JNB</t>
  </si>
  <si>
    <t>LUN</t>
  </si>
  <si>
    <t>NLA</t>
  </si>
  <si>
    <t>HRE</t>
  </si>
  <si>
    <t>BLA</t>
  </si>
  <si>
    <t>GBE</t>
  </si>
  <si>
    <t>WDH</t>
  </si>
  <si>
    <t>MPM</t>
  </si>
  <si>
    <t>DAR</t>
  </si>
  <si>
    <t>NBO</t>
  </si>
  <si>
    <t>Nairobi</t>
  </si>
  <si>
    <t>KGL</t>
  </si>
  <si>
    <t>Kigali</t>
  </si>
  <si>
    <t>EBB</t>
  </si>
  <si>
    <t>Entebbe</t>
  </si>
  <si>
    <t>LVI</t>
  </si>
  <si>
    <t>LOB</t>
  </si>
  <si>
    <t>Lobatse</t>
  </si>
  <si>
    <t>LUB</t>
  </si>
  <si>
    <t>KIN</t>
  </si>
  <si>
    <t>Kinshasa</t>
  </si>
  <si>
    <t>LOS</t>
  </si>
  <si>
    <t>Lagos</t>
  </si>
  <si>
    <t>ACC</t>
  </si>
  <si>
    <t>Accra</t>
  </si>
  <si>
    <t>DKR</t>
  </si>
  <si>
    <t>Dakar</t>
  </si>
  <si>
    <t>ABJ</t>
  </si>
  <si>
    <t>Abidjan</t>
  </si>
  <si>
    <t>CAI</t>
  </si>
  <si>
    <t>Cairo</t>
  </si>
  <si>
    <t>Tunis</t>
  </si>
  <si>
    <t>KOL</t>
  </si>
  <si>
    <t>Ad Hoc</t>
  </si>
  <si>
    <t>All business undertaken with xxxxxxx is in accordance with our standard terms and conditions. A copy of which is available on our website or upon request.</t>
  </si>
  <si>
    <t>February 2026</t>
  </si>
  <si>
    <t>Mr Smith</t>
  </si>
  <si>
    <t>AW001</t>
  </si>
  <si>
    <t>BT002</t>
  </si>
  <si>
    <t>CS003</t>
  </si>
  <si>
    <t>EW004</t>
  </si>
  <si>
    <t>GL005</t>
  </si>
  <si>
    <t>MC006</t>
  </si>
  <si>
    <t>PC007</t>
  </si>
  <si>
    <t>TV008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</si>
</sst>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7" formatCode="&quot;R&quot;#,##0.00;\-&quot;R&quot;#,##0.00"/>
    <numFmt numFmtId="41" formatCode="_-* #,##0_-;\-* #,##0_-;_-* &quot;-&quot;_-;_-@_-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[$$-409]* #,##0.00_ ;_-[$$-409]* \-#,##0.00\ ;_-[$$-409]* &quot;-&quot;??_ ;_-@_ "/>
    <numFmt numFmtId="167" formatCode="#,##0.000"/>
    <numFmt numFmtId="169" formatCode="#,##0.00_ ;\-#,##0.00\ "/>
    <numFmt numFmtId="170" formatCode="[$$-409]#,##0_ ;[Red]\-[$$-409]#,##0\ "/>
    <numFmt numFmtId="171" formatCode="dd/mmm/yyyy"/>
    <numFmt numFmtId="172" formatCode="#,##0;[Red]\(#,##0\)"/>
    <numFmt numFmtId="173" formatCode="_-[$$-409]* #,##0_ ;_-[$$-409]* \-#,##0\ ;_-[$$-409]* &quot;-&quot;_ ;_-@_ "/>
    <numFmt numFmtId="174" formatCode="[$$-409]#,##0;[Red][$$-409]#,##0"/>
    <numFmt numFmtId="175" formatCode="[$$-409]#,##0.00_ ;\-[$$-409]#,##0.00\ "/>
    <numFmt numFmtId="176" formatCode="[$-1C09]dd\ mmmm\ yyyy;@"/>
    <numFmt numFmtId="177" formatCode="#,##0.000_ ;\-#,##0.000\ "/>
    <numFmt numFmtId="178" formatCode="dd/mmmm/yyyy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0" tint="-4.9989318521683403E-2"/>
      <name val="Calibri"/>
      <family val="2"/>
    </font>
    <font>
      <sz val="11"/>
      <color theme="0" tint="-4.9989318521683403E-2"/>
      <name val="Calibri"/>
      <family val="2"/>
    </font>
    <font>
      <b/>
      <sz val="16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Trebuchet MS"/>
      <family val="2"/>
    </font>
    <font>
      <b/>
      <sz val="11"/>
      <name val="Calibri"/>
      <family val="2"/>
    </font>
    <font>
      <sz val="10"/>
      <name val="Verdana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F94949"/>
      <name val="Calibri"/>
      <family val="2"/>
    </font>
    <font>
      <sz val="12"/>
      <color rgb="FF000000"/>
      <name val="Calibri"/>
      <family val="2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</font>
    <font>
      <sz val="10"/>
      <name val="Istok Web"/>
      <family val="2"/>
    </font>
    <font>
      <b/>
      <sz val="11"/>
      <name val="Istok Web"/>
      <family val="2"/>
    </font>
    <font>
      <b/>
      <sz val="10"/>
      <name val="Istok Web"/>
      <family val="2"/>
    </font>
    <font>
      <sz val="10"/>
      <color theme="4"/>
      <name val="Istok Web"/>
      <family val="2"/>
    </font>
    <font>
      <b/>
      <sz val="11"/>
      <color indexed="9"/>
      <name val="Istok Web"/>
      <family val="2"/>
    </font>
    <font>
      <sz val="11"/>
      <name val="Istok Web"/>
      <family val="2"/>
    </font>
    <font>
      <b/>
      <sz val="11"/>
      <color theme="1"/>
      <name val="Istok Web"/>
      <family val="2"/>
    </font>
    <font>
      <sz val="11"/>
      <color indexed="9"/>
      <name val="Istok Web"/>
      <family val="2"/>
    </font>
    <font>
      <sz val="10"/>
      <color theme="3"/>
      <name val="Istok Web"/>
      <family val="2"/>
    </font>
    <font>
      <b/>
      <sz val="10"/>
      <color indexed="9"/>
      <name val="Istok Web"/>
      <family val="2"/>
    </font>
    <font>
      <b/>
      <sz val="10"/>
      <color theme="1"/>
      <name val="Istok Web"/>
      <family val="2"/>
    </font>
    <font>
      <b/>
      <sz val="36"/>
      <color rgb="FF001A34"/>
      <name val="Istok Web"/>
      <family val="2"/>
    </font>
    <font>
      <sz val="10"/>
      <color theme="0"/>
      <name val="Trebuchet MS"/>
      <family val="2"/>
    </font>
    <font>
      <b/>
      <sz val="10"/>
      <name val="Trebuchet MS"/>
      <family val="2"/>
    </font>
    <font>
      <b/>
      <sz val="20"/>
      <name val="Trebuchet MS"/>
      <family val="2"/>
    </font>
    <font>
      <sz val="11"/>
      <color rgb="FF0D0D0D"/>
      <name val="Courier New"/>
      <family val="3"/>
    </font>
    <font>
      <u/>
      <sz val="11"/>
      <color theme="10"/>
      <name val="Calibri"/>
      <family val="2"/>
      <scheme val="minor"/>
    </font>
    <font>
      <sz val="10"/>
      <color theme="1"/>
      <name val="Istok Web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AEEF"/>
        <bgColor indexed="64"/>
      </patternFill>
    </fill>
    <fill>
      <patternFill patternType="solid">
        <fgColor rgb="FFD9E1F2"/>
        <bgColor rgb="FF000000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164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2" fillId="0" borderId="0" applyNumberFormat="0" applyFill="0" applyBorder="0" applyAlignment="0" applyProtection="0"/>
  </cellStyleXfs>
  <cellXfs count="43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8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7" fillId="5" borderId="3" xfId="0" applyFont="1" applyFill="1" applyBorder="1" applyAlignment="1" applyProtection="1">
      <alignment horizontal="center"/>
      <protection locked="0"/>
    </xf>
    <xf numFmtId="0" fontId="14" fillId="0" borderId="6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43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44" fontId="7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10" fillId="0" borderId="7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3" fontId="7" fillId="0" borderId="12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/>
    </xf>
    <xf numFmtId="15" fontId="7" fillId="0" borderId="3" xfId="0" applyNumberFormat="1" applyFont="1" applyBorder="1" applyAlignment="1">
      <alignment horizontal="center"/>
    </xf>
    <xf numFmtId="15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5" xfId="0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20" fillId="0" borderId="0" xfId="0" applyFont="1" applyAlignment="1">
      <alignment vertical="center"/>
    </xf>
    <xf numFmtId="3" fontId="7" fillId="0" borderId="16" xfId="0" applyNumberFormat="1" applyFont="1" applyBorder="1" applyAlignment="1">
      <alignment horizontal="center"/>
    </xf>
    <xf numFmtId="172" fontId="7" fillId="0" borderId="0" xfId="0" applyNumberFormat="1" applyFont="1" applyAlignment="1">
      <alignment horizontal="center"/>
    </xf>
    <xf numFmtId="166" fontId="7" fillId="0" borderId="15" xfId="0" applyNumberFormat="1" applyFont="1" applyBorder="1" applyAlignment="1">
      <alignment horizontal="center"/>
    </xf>
    <xf numFmtId="173" fontId="7" fillId="0" borderId="17" xfId="0" applyNumberFormat="1" applyFont="1" applyBorder="1" applyAlignment="1">
      <alignment horizontal="center"/>
    </xf>
    <xf numFmtId="173" fontId="7" fillId="0" borderId="0" xfId="0" applyNumberFormat="1" applyFont="1" applyAlignment="1">
      <alignment horizontal="center"/>
    </xf>
    <xf numFmtId="0" fontId="7" fillId="0" borderId="15" xfId="0" applyFont="1" applyBorder="1" applyAlignment="1">
      <alignment horizontal="center"/>
    </xf>
    <xf numFmtId="173" fontId="7" fillId="0" borderId="7" xfId="0" applyNumberFormat="1" applyFont="1" applyBorder="1" applyAlignment="1">
      <alignment horizontal="center"/>
    </xf>
    <xf numFmtId="173" fontId="7" fillId="0" borderId="12" xfId="0" applyNumberFormat="1" applyFont="1" applyBorder="1" applyAlignment="1">
      <alignment horizontal="center"/>
    </xf>
    <xf numFmtId="173" fontId="7" fillId="0" borderId="18" xfId="0" applyNumberFormat="1" applyFont="1" applyBorder="1" applyAlignment="1">
      <alignment horizontal="center"/>
    </xf>
    <xf numFmtId="172" fontId="7" fillId="0" borderId="19" xfId="0" applyNumberFormat="1" applyFont="1" applyBorder="1" applyAlignment="1">
      <alignment horizontal="center"/>
    </xf>
    <xf numFmtId="174" fontId="21" fillId="0" borderId="17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174" fontId="7" fillId="0" borderId="17" xfId="0" applyNumberFormat="1" applyFont="1" applyBorder="1" applyAlignment="1">
      <alignment horizontal="center"/>
    </xf>
    <xf numFmtId="166" fontId="7" fillId="0" borderId="15" xfId="0" applyNumberFormat="1" applyFont="1" applyBorder="1" applyAlignment="1">
      <alignment horizontal="center" vertical="center"/>
    </xf>
    <xf numFmtId="174" fontId="21" fillId="0" borderId="20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66" fontId="7" fillId="0" borderId="6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left"/>
    </xf>
    <xf numFmtId="0" fontId="14" fillId="0" borderId="9" xfId="0" applyFont="1" applyBorder="1" applyAlignment="1">
      <alignment horizontal="left"/>
    </xf>
    <xf numFmtId="166" fontId="7" fillId="0" borderId="9" xfId="0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166" fontId="23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0" xfId="0" applyFont="1" applyAlignment="1">
      <alignment horizontal="left"/>
    </xf>
    <xf numFmtId="166" fontId="23" fillId="0" borderId="0" xfId="0" applyNumberFormat="1" applyFont="1" applyAlignment="1">
      <alignment horizontal="center"/>
    </xf>
    <xf numFmtId="0" fontId="7" fillId="0" borderId="21" xfId="0" applyFont="1" applyBorder="1" applyAlignment="1">
      <alignment horizontal="left"/>
    </xf>
    <xf numFmtId="10" fontId="8" fillId="7" borderId="21" xfId="4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Protection="1">
      <protection locked="0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70" fontId="7" fillId="0" borderId="0" xfId="0" applyNumberFormat="1" applyFont="1" applyAlignment="1">
      <alignment horizontal="center"/>
    </xf>
    <xf numFmtId="174" fontId="7" fillId="0" borderId="0" xfId="0" applyNumberFormat="1" applyFont="1" applyAlignment="1">
      <alignment horizontal="center"/>
    </xf>
    <xf numFmtId="0" fontId="0" fillId="5" borderId="3" xfId="0" applyFill="1" applyBorder="1" applyAlignment="1" applyProtection="1">
      <alignment horizontal="left" indent="1"/>
      <protection locked="0"/>
    </xf>
    <xf numFmtId="44" fontId="0" fillId="0" borderId="0" xfId="0" applyNumberFormat="1"/>
    <xf numFmtId="0" fontId="3" fillId="4" borderId="0" xfId="0" applyFont="1" applyFill="1"/>
    <xf numFmtId="167" fontId="0" fillId="0" borderId="0" xfId="0" applyNumberFormat="1"/>
    <xf numFmtId="7" fontId="0" fillId="5" borderId="3" xfId="0" applyNumberFormat="1" applyFill="1" applyBorder="1" applyAlignment="1" applyProtection="1">
      <alignment horizontal="left" indent="1"/>
      <protection locked="0"/>
    </xf>
    <xf numFmtId="166" fontId="0" fillId="0" borderId="6" xfId="0" applyNumberFormat="1" applyBorder="1"/>
    <xf numFmtId="166" fontId="0" fillId="0" borderId="0" xfId="0" applyNumberFormat="1"/>
    <xf numFmtId="44" fontId="0" fillId="0" borderId="6" xfId="0" applyNumberFormat="1" applyBorder="1"/>
    <xf numFmtId="166" fontId="27" fillId="0" borderId="6" xfId="0" applyNumberFormat="1" applyFont="1" applyBorder="1"/>
    <xf numFmtId="166" fontId="27" fillId="0" borderId="0" xfId="0" applyNumberFormat="1" applyFont="1"/>
    <xf numFmtId="0" fontId="27" fillId="0" borderId="0" xfId="0" applyFont="1"/>
    <xf numFmtId="44" fontId="27" fillId="0" borderId="6" xfId="0" applyNumberFormat="1" applyFont="1" applyBorder="1"/>
    <xf numFmtId="44" fontId="27" fillId="0" borderId="0" xfId="0" applyNumberFormat="1" applyFont="1"/>
    <xf numFmtId="0" fontId="21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10" fontId="32" fillId="0" borderId="6" xfId="0" applyNumberFormat="1" applyFont="1" applyBorder="1" applyAlignment="1">
      <alignment horizontal="center"/>
    </xf>
    <xf numFmtId="10" fontId="32" fillId="0" borderId="0" xfId="0" applyNumberFormat="1" applyFont="1" applyAlignment="1">
      <alignment horizontal="center"/>
    </xf>
    <xf numFmtId="0" fontId="10" fillId="5" borderId="3" xfId="0" applyFont="1" applyFill="1" applyBorder="1" applyAlignment="1">
      <alignment horizontal="center"/>
    </xf>
    <xf numFmtId="15" fontId="7" fillId="5" borderId="3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9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9" fontId="33" fillId="0" borderId="0" xfId="4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9" fontId="20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8" xfId="0" applyFont="1" applyBorder="1"/>
    <xf numFmtId="0" fontId="7" fillId="0" borderId="6" xfId="0" applyFont="1" applyBorder="1"/>
    <xf numFmtId="7" fontId="0" fillId="0" borderId="0" xfId="0" applyNumberFormat="1"/>
    <xf numFmtId="4" fontId="0" fillId="0" borderId="0" xfId="0" applyNumberFormat="1"/>
    <xf numFmtId="0" fontId="18" fillId="2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4" fontId="7" fillId="3" borderId="3" xfId="0" applyNumberFormat="1" applyFont="1" applyFill="1" applyBorder="1" applyAlignment="1">
      <alignment horizontal="center"/>
    </xf>
    <xf numFmtId="9" fontId="7" fillId="3" borderId="3" xfId="4" applyFont="1" applyFill="1" applyBorder="1" applyAlignment="1">
      <alignment horizontal="center"/>
    </xf>
    <xf numFmtId="14" fontId="7" fillId="3" borderId="3" xfId="0" applyNumberFormat="1" applyFont="1" applyFill="1" applyBorder="1" applyAlignment="1">
      <alignment horizontal="center"/>
    </xf>
    <xf numFmtId="3" fontId="7" fillId="3" borderId="3" xfId="0" applyNumberFormat="1" applyFont="1" applyFill="1" applyBorder="1" applyAlignment="1">
      <alignment horizontal="center"/>
    </xf>
    <xf numFmtId="3" fontId="7" fillId="3" borderId="3" xfId="4" applyNumberFormat="1" applyFont="1" applyFill="1" applyBorder="1" applyAlignment="1">
      <alignment horizontal="center"/>
    </xf>
    <xf numFmtId="41" fontId="7" fillId="3" borderId="3" xfId="0" applyNumberFormat="1" applyFont="1" applyFill="1" applyBorder="1" applyAlignment="1">
      <alignment horizontal="center"/>
    </xf>
    <xf numFmtId="1" fontId="7" fillId="3" borderId="3" xfId="4" applyNumberFormat="1" applyFont="1" applyFill="1" applyBorder="1" applyAlignment="1">
      <alignment horizontal="center"/>
    </xf>
    <xf numFmtId="14" fontId="7" fillId="3" borderId="3" xfId="4" applyNumberFormat="1" applyFont="1" applyFill="1" applyBorder="1" applyAlignment="1">
      <alignment horizontal="center"/>
    </xf>
    <xf numFmtId="1" fontId="7" fillId="3" borderId="3" xfId="0" applyNumberFormat="1" applyFont="1" applyFill="1" applyBorder="1" applyAlignment="1">
      <alignment horizontal="center"/>
    </xf>
    <xf numFmtId="14" fontId="7" fillId="8" borderId="3" xfId="0" applyNumberFormat="1" applyFont="1" applyFill="1" applyBorder="1" applyAlignment="1" applyProtection="1">
      <alignment horizontal="center"/>
      <protection locked="0"/>
    </xf>
    <xf numFmtId="0" fontId="7" fillId="8" borderId="3" xfId="0" applyFont="1" applyFill="1" applyBorder="1" applyAlignment="1" applyProtection="1">
      <alignment horizontal="center"/>
      <protection locked="0"/>
    </xf>
    <xf numFmtId="167" fontId="7" fillId="8" borderId="3" xfId="0" applyNumberFormat="1" applyFont="1" applyFill="1" applyBorder="1" applyAlignment="1" applyProtection="1">
      <alignment horizontal="center"/>
      <protection locked="0"/>
    </xf>
    <xf numFmtId="169" fontId="7" fillId="8" borderId="3" xfId="0" applyNumberFormat="1" applyFont="1" applyFill="1" applyBorder="1" applyAlignment="1" applyProtection="1">
      <alignment horizontal="center"/>
      <protection locked="0"/>
    </xf>
    <xf numFmtId="9" fontId="7" fillId="8" borderId="3" xfId="4" applyFont="1" applyFill="1" applyBorder="1" applyAlignment="1" applyProtection="1">
      <alignment horizontal="center"/>
      <protection locked="0"/>
    </xf>
    <xf numFmtId="4" fontId="7" fillId="8" borderId="3" xfId="0" applyNumberFormat="1" applyFont="1" applyFill="1" applyBorder="1" applyAlignment="1" applyProtection="1">
      <alignment horizontal="center"/>
      <protection locked="0"/>
    </xf>
    <xf numFmtId="3" fontId="7" fillId="8" borderId="3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166" fontId="7" fillId="3" borderId="3" xfId="0" applyNumberFormat="1" applyFont="1" applyFill="1" applyBorder="1" applyAlignment="1">
      <alignment horizontal="center"/>
    </xf>
    <xf numFmtId="49" fontId="7" fillId="0" borderId="3" xfId="0" applyNumberFormat="1" applyFont="1" applyBorder="1" applyAlignment="1" applyProtection="1">
      <alignment horizontal="center"/>
      <protection locked="0"/>
    </xf>
    <xf numFmtId="167" fontId="7" fillId="0" borderId="3" xfId="0" applyNumberFormat="1" applyFont="1" applyBorder="1" applyAlignment="1" applyProtection="1">
      <alignment horizontal="center"/>
      <protection locked="0"/>
    </xf>
    <xf numFmtId="4" fontId="7" fillId="0" borderId="3" xfId="0" applyNumberFormat="1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0" borderId="3" xfId="0" applyFont="1" applyBorder="1"/>
    <xf numFmtId="175" fontId="0" fillId="5" borderId="3" xfId="0" applyNumberFormat="1" applyFill="1" applyBorder="1" applyAlignment="1">
      <alignment horizontal="left" indent="1"/>
    </xf>
    <xf numFmtId="166" fontId="35" fillId="0" borderId="0" xfId="0" applyNumberFormat="1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left"/>
      <protection locked="0"/>
    </xf>
    <xf numFmtId="167" fontId="0" fillId="0" borderId="3" xfId="0" applyNumberFormat="1" applyBorder="1" applyAlignment="1" applyProtection="1">
      <alignment horizontal="left"/>
      <protection locked="0"/>
    </xf>
    <xf numFmtId="166" fontId="0" fillId="0" borderId="3" xfId="0" applyNumberFormat="1" applyBorder="1" applyAlignment="1" applyProtection="1">
      <alignment horizontal="left"/>
      <protection locked="0"/>
    </xf>
    <xf numFmtId="9" fontId="0" fillId="0" borderId="3" xfId="0" applyNumberFormat="1" applyBorder="1" applyAlignment="1" applyProtection="1">
      <alignment horizontal="center"/>
      <protection locked="0"/>
    </xf>
    <xf numFmtId="17" fontId="0" fillId="5" borderId="3" xfId="0" applyNumberFormat="1" applyFill="1" applyBorder="1" applyAlignment="1" applyProtection="1">
      <alignment horizontal="left" indent="1"/>
      <protection locked="0"/>
    </xf>
    <xf numFmtId="167" fontId="7" fillId="5" borderId="3" xfId="0" applyNumberFormat="1" applyFont="1" applyFill="1" applyBorder="1" applyAlignment="1" applyProtection="1">
      <alignment horizontal="center"/>
      <protection locked="0"/>
    </xf>
    <xf numFmtId="167" fontId="30" fillId="0" borderId="9" xfId="0" applyNumberFormat="1" applyFont="1" applyBorder="1" applyAlignment="1">
      <alignment vertical="center"/>
    </xf>
    <xf numFmtId="167" fontId="30" fillId="0" borderId="0" xfId="0" applyNumberFormat="1" applyFont="1" applyAlignment="1">
      <alignment vertical="center"/>
    </xf>
    <xf numFmtId="166" fontId="21" fillId="9" borderId="6" xfId="0" applyNumberFormat="1" applyFont="1" applyFill="1" applyBorder="1" applyAlignment="1" applyProtection="1">
      <alignment horizontal="center"/>
      <protection locked="0"/>
    </xf>
    <xf numFmtId="0" fontId="36" fillId="0" borderId="0" xfId="2" applyFont="1"/>
    <xf numFmtId="0" fontId="36" fillId="0" borderId="0" xfId="2" applyFont="1" applyAlignment="1" applyProtection="1">
      <alignment horizontal="left" indent="1"/>
      <protection locked="0"/>
    </xf>
    <xf numFmtId="0" fontId="15" fillId="0" borderId="0" xfId="2"/>
    <xf numFmtId="0" fontId="36" fillId="0" borderId="0" xfId="2" applyFont="1" applyAlignment="1">
      <alignment horizontal="left" indent="1"/>
    </xf>
    <xf numFmtId="0" fontId="37" fillId="0" borderId="0" xfId="2" applyFont="1" applyAlignment="1" applyProtection="1">
      <alignment horizontal="left" indent="1"/>
      <protection locked="0"/>
    </xf>
    <xf numFmtId="0" fontId="38" fillId="0" borderId="0" xfId="2" applyFont="1" applyAlignment="1" applyProtection="1">
      <alignment horizontal="left" indent="1"/>
      <protection locked="0"/>
    </xf>
    <xf numFmtId="0" fontId="36" fillId="0" borderId="0" xfId="2" applyFont="1" applyAlignment="1">
      <alignment horizontal="right" indent="1"/>
    </xf>
    <xf numFmtId="176" fontId="38" fillId="0" borderId="0" xfId="2" applyNumberFormat="1" applyFont="1" applyAlignment="1">
      <alignment horizontal="center"/>
    </xf>
    <xf numFmtId="0" fontId="39" fillId="0" borderId="0" xfId="2" applyFont="1"/>
    <xf numFmtId="0" fontId="40" fillId="10" borderId="0" xfId="2" applyFont="1" applyFill="1" applyAlignment="1">
      <alignment horizontal="left" indent="1"/>
    </xf>
    <xf numFmtId="14" fontId="38" fillId="0" borderId="0" xfId="2" applyNumberFormat="1" applyFont="1" applyAlignment="1">
      <alignment horizontal="left" indent="1"/>
    </xf>
    <xf numFmtId="0" fontId="41" fillId="0" borderId="0" xfId="2" applyFont="1" applyAlignment="1">
      <alignment vertical="center"/>
    </xf>
    <xf numFmtId="0" fontId="36" fillId="0" borderId="0" xfId="2" applyFont="1" applyAlignment="1">
      <alignment horizontal="left" vertical="center" indent="1"/>
    </xf>
    <xf numFmtId="0" fontId="40" fillId="10" borderId="0" xfId="2" applyFont="1" applyFill="1" applyAlignment="1">
      <alignment horizontal="center"/>
    </xf>
    <xf numFmtId="0" fontId="40" fillId="10" borderId="0" xfId="2" applyFont="1" applyFill="1" applyAlignment="1">
      <alignment horizontal="right"/>
    </xf>
    <xf numFmtId="0" fontId="40" fillId="10" borderId="0" xfId="2" applyFont="1" applyFill="1" applyAlignment="1">
      <alignment horizontal="right" indent="1"/>
    </xf>
    <xf numFmtId="0" fontId="42" fillId="0" borderId="0" xfId="0" applyFont="1" applyAlignment="1">
      <alignment horizontal="left"/>
    </xf>
    <xf numFmtId="37" fontId="36" fillId="0" borderId="0" xfId="2" applyNumberFormat="1" applyFont="1" applyAlignment="1">
      <alignment horizontal="center"/>
    </xf>
    <xf numFmtId="0" fontId="36" fillId="0" borderId="0" xfId="2" applyFont="1" applyAlignment="1">
      <alignment horizontal="center"/>
    </xf>
    <xf numFmtId="164" fontId="36" fillId="0" borderId="0" xfId="3" applyFont="1" applyBorder="1" applyAlignment="1">
      <alignment horizontal="right" indent="1"/>
    </xf>
    <xf numFmtId="164" fontId="36" fillId="0" borderId="0" xfId="3" applyFont="1" applyBorder="1" applyAlignment="1">
      <alignment horizontal="left" indent="1"/>
    </xf>
    <xf numFmtId="0" fontId="42" fillId="0" borderId="0" xfId="0" applyFont="1" applyAlignment="1">
      <alignment horizontal="left" indent="1"/>
    </xf>
    <xf numFmtId="14" fontId="36" fillId="0" borderId="0" xfId="2" applyNumberFormat="1" applyFont="1" applyAlignment="1" applyProtection="1">
      <alignment horizontal="center"/>
      <protection locked="0"/>
    </xf>
    <xf numFmtId="0" fontId="43" fillId="0" borderId="0" xfId="2" applyFont="1" applyAlignment="1">
      <alignment horizontal="left" indent="1"/>
    </xf>
    <xf numFmtId="0" fontId="36" fillId="0" borderId="0" xfId="2" applyFont="1" applyAlignment="1">
      <alignment horizontal="left"/>
    </xf>
    <xf numFmtId="0" fontId="38" fillId="0" borderId="0" xfId="2" applyFont="1" applyAlignment="1">
      <alignment horizontal="left"/>
    </xf>
    <xf numFmtId="164" fontId="36" fillId="0" borderId="0" xfId="2" applyNumberFormat="1" applyFont="1"/>
    <xf numFmtId="0" fontId="44" fillId="0" borderId="0" xfId="2" applyFont="1"/>
    <xf numFmtId="0" fontId="45" fillId="10" borderId="0" xfId="2" applyFont="1" applyFill="1" applyAlignment="1">
      <alignment horizontal="left" indent="1"/>
    </xf>
    <xf numFmtId="0" fontId="36" fillId="0" borderId="0" xfId="2" applyFont="1" applyAlignment="1">
      <alignment horizontal="left" vertical="top" indent="1"/>
    </xf>
    <xf numFmtId="0" fontId="36" fillId="0" borderId="0" xfId="2" applyFont="1" applyAlignment="1">
      <alignment vertical="top" wrapText="1"/>
    </xf>
    <xf numFmtId="0" fontId="38" fillId="0" borderId="0" xfId="2" applyFont="1" applyAlignment="1">
      <alignment horizontal="left" vertical="top" wrapText="1" indent="1"/>
    </xf>
    <xf numFmtId="0" fontId="38" fillId="0" borderId="0" xfId="2" applyFont="1" applyAlignment="1">
      <alignment vertical="top" wrapText="1"/>
    </xf>
    <xf numFmtId="0" fontId="36" fillId="0" borderId="0" xfId="2" applyFont="1" applyAlignment="1">
      <alignment horizontal="left" vertical="top" wrapText="1" indent="1"/>
    </xf>
    <xf numFmtId="0" fontId="38" fillId="0" borderId="0" xfId="2" applyFont="1" applyAlignment="1">
      <alignment horizontal="right" vertical="center"/>
    </xf>
    <xf numFmtId="0" fontId="46" fillId="0" borderId="0" xfId="2" applyFont="1" applyAlignment="1">
      <alignment horizontal="right" vertical="center" indent="2"/>
    </xf>
    <xf numFmtId="177" fontId="36" fillId="0" borderId="0" xfId="2" applyNumberFormat="1" applyFont="1" applyAlignment="1">
      <alignment horizontal="center"/>
    </xf>
    <xf numFmtId="166" fontId="36" fillId="0" borderId="0" xfId="2" applyNumberFormat="1" applyFont="1" applyAlignment="1">
      <alignment horizontal="left"/>
    </xf>
    <xf numFmtId="166" fontId="38" fillId="0" borderId="0" xfId="2" applyNumberFormat="1" applyFont="1" applyAlignment="1">
      <alignment horizontal="left"/>
    </xf>
    <xf numFmtId="14" fontId="38" fillId="0" borderId="0" xfId="2" applyNumberFormat="1" applyFont="1" applyAlignment="1">
      <alignment horizontal="center"/>
    </xf>
    <xf numFmtId="0" fontId="36" fillId="0" borderId="0" xfId="2" applyFont="1" applyAlignment="1">
      <alignment horizontal="left" indent="2"/>
    </xf>
    <xf numFmtId="0" fontId="47" fillId="0" borderId="0" xfId="2" applyFont="1" applyAlignment="1">
      <alignment horizontal="center" vertical="center"/>
    </xf>
    <xf numFmtId="0" fontId="15" fillId="0" borderId="3" xfId="2" applyBorder="1" applyAlignment="1">
      <alignment horizontal="center"/>
    </xf>
    <xf numFmtId="0" fontId="15" fillId="0" borderId="8" xfId="2" applyBorder="1"/>
    <xf numFmtId="0" fontId="15" fillId="0" borderId="9" xfId="2" applyBorder="1"/>
    <xf numFmtId="0" fontId="15" fillId="0" borderId="10" xfId="2" applyBorder="1"/>
    <xf numFmtId="0" fontId="15" fillId="0" borderId="11" xfId="2" applyBorder="1"/>
    <xf numFmtId="0" fontId="48" fillId="0" borderId="0" xfId="2" applyFont="1"/>
    <xf numFmtId="0" fontId="15" fillId="0" borderId="12" xfId="2" applyBorder="1"/>
    <xf numFmtId="0" fontId="15" fillId="0" borderId="5" xfId="2" applyBorder="1"/>
    <xf numFmtId="0" fontId="15" fillId="0" borderId="6" xfId="2" applyBorder="1"/>
    <xf numFmtId="0" fontId="15" fillId="0" borderId="7" xfId="2" applyBorder="1"/>
    <xf numFmtId="3" fontId="0" fillId="0" borderId="0" xfId="0" applyNumberFormat="1" applyAlignment="1">
      <alignment horizontal="center"/>
    </xf>
    <xf numFmtId="0" fontId="49" fillId="0" borderId="3" xfId="2" applyFont="1" applyBorder="1" applyAlignment="1">
      <alignment horizontal="center"/>
    </xf>
    <xf numFmtId="14" fontId="0" fillId="0" borderId="0" xfId="0" applyNumberFormat="1"/>
    <xf numFmtId="0" fontId="51" fillId="0" borderId="0" xfId="0" applyFont="1"/>
    <xf numFmtId="0" fontId="52" fillId="0" borderId="0" xfId="5"/>
    <xf numFmtId="0" fontId="53" fillId="0" borderId="0" xfId="0" applyFont="1" applyAlignment="1">
      <alignment horizontal="left" indent="2"/>
    </xf>
    <xf numFmtId="0" fontId="15" fillId="0" borderId="36" xfId="2" applyBorder="1"/>
    <xf numFmtId="0" fontId="5" fillId="4" borderId="9" xfId="0" applyFont="1" applyFill="1" applyBorder="1" applyAlignment="1">
      <alignment horizontal="left" vertical="center" indent="31"/>
    </xf>
    <xf numFmtId="0" fontId="5" fillId="4" borderId="10" xfId="0" applyFont="1" applyFill="1" applyBorder="1" applyAlignment="1">
      <alignment horizontal="left" vertical="center" indent="31"/>
    </xf>
    <xf numFmtId="0" fontId="5" fillId="4" borderId="6" xfId="0" applyFont="1" applyFill="1" applyBorder="1" applyAlignment="1">
      <alignment horizontal="left" vertical="center" indent="31"/>
    </xf>
    <xf numFmtId="0" fontId="5" fillId="4" borderId="7" xfId="0" applyFont="1" applyFill="1" applyBorder="1" applyAlignment="1">
      <alignment horizontal="left" vertical="center" indent="31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171" fontId="7" fillId="0" borderId="0" xfId="0" applyNumberFormat="1" applyFont="1" applyAlignment="1" applyProtection="1">
      <alignment vertical="center"/>
      <protection locked="0"/>
    </xf>
    <xf numFmtId="171" fontId="7" fillId="0" borderId="21" xfId="0" applyNumberFormat="1" applyFont="1" applyBorder="1" applyAlignment="1" applyProtection="1">
      <alignment vertical="center"/>
      <protection locked="0"/>
    </xf>
    <xf numFmtId="0" fontId="7" fillId="0" borderId="21" xfId="0" applyFont="1" applyBorder="1" applyAlignment="1">
      <alignment horizontal="right" vertical="center"/>
    </xf>
    <xf numFmtId="171" fontId="7" fillId="9" borderId="21" xfId="0" applyNumberFormat="1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/>
      <protection locked="0"/>
    </xf>
    <xf numFmtId="167" fontId="7" fillId="8" borderId="13" xfId="0" applyNumberFormat="1" applyFont="1" applyFill="1" applyBorder="1" applyAlignment="1" applyProtection="1">
      <alignment horizontal="center"/>
      <protection locked="0"/>
    </xf>
    <xf numFmtId="169" fontId="7" fillId="8" borderId="13" xfId="0" applyNumberFormat="1" applyFont="1" applyFill="1" applyBorder="1" applyAlignment="1" applyProtection="1">
      <alignment horizontal="center"/>
      <protection locked="0"/>
    </xf>
    <xf numFmtId="9" fontId="7" fillId="8" borderId="13" xfId="4" applyFont="1" applyFill="1" applyBorder="1" applyAlignment="1" applyProtection="1">
      <alignment horizontal="center"/>
      <protection locked="0"/>
    </xf>
    <xf numFmtId="14" fontId="7" fillId="8" borderId="13" xfId="0" applyNumberFormat="1" applyFont="1" applyFill="1" applyBorder="1" applyAlignment="1" applyProtection="1">
      <alignment horizontal="center"/>
      <protection locked="0"/>
    </xf>
    <xf numFmtId="9" fontId="7" fillId="3" borderId="13" xfId="4" applyFont="1" applyFill="1" applyBorder="1" applyAlignment="1">
      <alignment horizontal="center"/>
    </xf>
    <xf numFmtId="3" fontId="7" fillId="3" borderId="13" xfId="4" applyNumberFormat="1" applyFont="1" applyFill="1" applyBorder="1" applyAlignment="1">
      <alignment horizontal="center"/>
    </xf>
    <xf numFmtId="3" fontId="7" fillId="3" borderId="13" xfId="0" applyNumberFormat="1" applyFont="1" applyFill="1" applyBorder="1" applyAlignment="1">
      <alignment horizontal="center"/>
    </xf>
    <xf numFmtId="41" fontId="7" fillId="3" borderId="13" xfId="0" applyNumberFormat="1" applyFont="1" applyFill="1" applyBorder="1" applyAlignment="1">
      <alignment horizontal="center"/>
    </xf>
    <xf numFmtId="14" fontId="7" fillId="3" borderId="13" xfId="0" applyNumberFormat="1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4" fontId="7" fillId="8" borderId="13" xfId="0" applyNumberFormat="1" applyFont="1" applyFill="1" applyBorder="1" applyAlignment="1" applyProtection="1">
      <alignment horizontal="center"/>
      <protection locked="0"/>
    </xf>
    <xf numFmtId="3" fontId="7" fillId="8" borderId="13" xfId="0" applyNumberFormat="1" applyFont="1" applyFill="1" applyBorder="1" applyAlignment="1" applyProtection="1">
      <alignment horizontal="center"/>
      <protection locked="0"/>
    </xf>
    <xf numFmtId="1" fontId="7" fillId="3" borderId="13" xfId="4" applyNumberFormat="1" applyFont="1" applyFill="1" applyBorder="1" applyAlignment="1">
      <alignment horizontal="center"/>
    </xf>
    <xf numFmtId="4" fontId="7" fillId="3" borderId="13" xfId="0" applyNumberFormat="1" applyFont="1" applyFill="1" applyBorder="1" applyAlignment="1">
      <alignment horizontal="center"/>
    </xf>
    <xf numFmtId="14" fontId="7" fillId="3" borderId="13" xfId="4" applyNumberFormat="1" applyFont="1" applyFill="1" applyBorder="1" applyAlignment="1">
      <alignment horizontal="center"/>
    </xf>
    <xf numFmtId="1" fontId="7" fillId="3" borderId="13" xfId="0" applyNumberFormat="1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15" fillId="4" borderId="42" xfId="2" applyFill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left"/>
      <protection locked="0"/>
    </xf>
    <xf numFmtId="167" fontId="0" fillId="0" borderId="14" xfId="0" applyNumberFormat="1" applyBorder="1" applyAlignment="1" applyProtection="1">
      <alignment horizontal="left"/>
      <protection locked="0"/>
    </xf>
    <xf numFmtId="166" fontId="0" fillId="0" borderId="14" xfId="0" applyNumberFormat="1" applyBorder="1" applyAlignment="1" applyProtection="1">
      <alignment horizontal="left"/>
      <protection locked="0"/>
    </xf>
    <xf numFmtId="166" fontId="0" fillId="0" borderId="14" xfId="0" applyNumberFormat="1" applyBorder="1" applyAlignment="1">
      <alignment horizontal="left"/>
    </xf>
    <xf numFmtId="9" fontId="0" fillId="0" borderId="14" xfId="4" applyFont="1" applyBorder="1" applyAlignment="1" applyProtection="1">
      <alignment horizontal="center"/>
    </xf>
    <xf numFmtId="166" fontId="3" fillId="0" borderId="0" xfId="0" applyNumberFormat="1" applyFont="1"/>
    <xf numFmtId="14" fontId="38" fillId="0" borderId="0" xfId="2" applyNumberFormat="1" applyFont="1" applyAlignment="1">
      <alignment horizontal="left" indent="2"/>
    </xf>
    <xf numFmtId="176" fontId="38" fillId="0" borderId="0" xfId="2" applyNumberFormat="1" applyFont="1" applyAlignment="1">
      <alignment horizontal="left" indent="2"/>
    </xf>
    <xf numFmtId="0" fontId="3" fillId="0" borderId="0" xfId="0" applyFont="1"/>
    <xf numFmtId="166" fontId="7" fillId="5" borderId="3" xfId="0" applyNumberFormat="1" applyFont="1" applyFill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43" fontId="7" fillId="0" borderId="3" xfId="0" applyNumberFormat="1" applyFont="1" applyBorder="1" applyAlignment="1" applyProtection="1">
      <alignment horizontal="center"/>
      <protection locked="0"/>
    </xf>
    <xf numFmtId="4" fontId="10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6" fillId="0" borderId="0" xfId="2" applyNumberFormat="1" applyFont="1" applyAlignment="1">
      <alignment horizontal="left" indent="1"/>
    </xf>
    <xf numFmtId="49" fontId="0" fillId="0" borderId="0" xfId="0" applyNumberFormat="1"/>
    <xf numFmtId="0" fontId="54" fillId="11" borderId="3" xfId="0" applyFont="1" applyFill="1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 vertical="center" wrapText="1"/>
    </xf>
    <xf numFmtId="49" fontId="7" fillId="0" borderId="3" xfId="0" applyNumberFormat="1" applyFont="1" applyBorder="1" applyProtection="1">
      <protection locked="0"/>
    </xf>
    <xf numFmtId="49" fontId="7" fillId="0" borderId="4" xfId="0" applyNumberFormat="1" applyFont="1" applyBorder="1" applyAlignment="1" applyProtection="1">
      <alignment horizontal="left"/>
      <protection locked="0"/>
    </xf>
    <xf numFmtId="173" fontId="0" fillId="0" borderId="0" xfId="0" applyNumberFormat="1"/>
    <xf numFmtId="9" fontId="0" fillId="0" borderId="0" xfId="4" applyFont="1"/>
    <xf numFmtId="0" fontId="0" fillId="0" borderId="7" xfId="0" applyBorder="1" applyProtection="1"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66" fontId="7" fillId="0" borderId="0" xfId="0" applyNumberFormat="1" applyFont="1" applyAlignment="1" applyProtection="1">
      <alignment horizontal="center"/>
      <protection locked="0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/>
    </xf>
    <xf numFmtId="0" fontId="29" fillId="2" borderId="8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5" borderId="4" xfId="0" applyFont="1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0" fontId="7" fillId="5" borderId="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4" borderId="1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5" fillId="4" borderId="0" xfId="0" applyFont="1" applyFill="1" applyAlignment="1">
      <alignment horizontal="center" vertical="center"/>
    </xf>
    <xf numFmtId="0" fontId="0" fillId="0" borderId="13" xfId="0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18" fillId="2" borderId="4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3" fillId="4" borderId="8" xfId="0" applyFont="1" applyFill="1" applyBorder="1" applyAlignment="1">
      <alignment horizontal="left" vertical="center" indent="24"/>
    </xf>
    <xf numFmtId="0" fontId="13" fillId="4" borderId="9" xfId="0" applyFont="1" applyFill="1" applyBorder="1" applyAlignment="1">
      <alignment horizontal="left" vertical="center" indent="24"/>
    </xf>
    <xf numFmtId="0" fontId="13" fillId="4" borderId="11" xfId="0" applyFont="1" applyFill="1" applyBorder="1" applyAlignment="1">
      <alignment horizontal="left" vertical="center" indent="24"/>
    </xf>
    <xf numFmtId="0" fontId="13" fillId="4" borderId="0" xfId="0" applyFont="1" applyFill="1" applyAlignment="1">
      <alignment horizontal="left" vertical="center" indent="24"/>
    </xf>
    <xf numFmtId="0" fontId="29" fillId="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67" fontId="0" fillId="0" borderId="6" xfId="0" applyNumberFormat="1" applyBorder="1" applyAlignment="1">
      <alignment horizontal="right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15" fillId="0" borderId="36" xfId="2" applyBorder="1" applyAlignment="1">
      <alignment horizontal="right"/>
    </xf>
    <xf numFmtId="0" fontId="15" fillId="0" borderId="37" xfId="2" applyBorder="1" applyAlignment="1">
      <alignment horizontal="right"/>
    </xf>
    <xf numFmtId="0" fontId="15" fillId="0" borderId="37" xfId="2" applyBorder="1" applyAlignment="1" applyProtection="1">
      <alignment horizontal="left" indent="1"/>
      <protection locked="0"/>
    </xf>
    <xf numFmtId="0" fontId="15" fillId="0" borderId="38" xfId="2" applyBorder="1" applyAlignment="1" applyProtection="1">
      <alignment horizontal="left" indent="1"/>
      <protection locked="0"/>
    </xf>
    <xf numFmtId="0" fontId="15" fillId="0" borderId="22" xfId="2" applyBorder="1" applyAlignment="1">
      <alignment horizontal="center"/>
    </xf>
    <xf numFmtId="0" fontId="15" fillId="0" borderId="23" xfId="2" applyBorder="1" applyAlignment="1">
      <alignment horizontal="center"/>
    </xf>
    <xf numFmtId="0" fontId="15" fillId="0" borderId="24" xfId="2" applyBorder="1" applyAlignment="1">
      <alignment horizontal="center"/>
    </xf>
    <xf numFmtId="178" fontId="15" fillId="0" borderId="37" xfId="2" applyNumberFormat="1" applyBorder="1" applyAlignment="1" applyProtection="1">
      <alignment horizontal="center"/>
      <protection locked="0"/>
    </xf>
    <xf numFmtId="178" fontId="15" fillId="0" borderId="38" xfId="2" applyNumberFormat="1" applyBorder="1" applyAlignment="1" applyProtection="1">
      <alignment horizontal="center"/>
      <protection locked="0"/>
    </xf>
    <xf numFmtId="0" fontId="15" fillId="0" borderId="0" xfId="2" applyAlignment="1">
      <alignment horizontal="left" vertical="top" wrapText="1"/>
    </xf>
    <xf numFmtId="0" fontId="15" fillId="0" borderId="12" xfId="2" applyBorder="1" applyAlignment="1">
      <alignment horizontal="left" vertical="top" wrapText="1"/>
    </xf>
    <xf numFmtId="0" fontId="15" fillId="0" borderId="0" xfId="2" applyAlignment="1">
      <alignment horizontal="left" wrapText="1"/>
    </xf>
    <xf numFmtId="0" fontId="15" fillId="0" borderId="0" xfId="2" applyAlignment="1">
      <alignment horizontal="left" vertical="center" wrapText="1"/>
    </xf>
    <xf numFmtId="0" fontId="15" fillId="0" borderId="12" xfId="2" applyBorder="1" applyAlignment="1">
      <alignment horizontal="left" vertical="center" wrapText="1"/>
    </xf>
    <xf numFmtId="0" fontId="49" fillId="0" borderId="22" xfId="2" applyFont="1" applyBorder="1" applyAlignment="1">
      <alignment horizontal="center"/>
    </xf>
    <xf numFmtId="0" fontId="49" fillId="0" borderId="23" xfId="2" applyFont="1" applyBorder="1" applyAlignment="1">
      <alignment horizontal="center"/>
    </xf>
    <xf numFmtId="0" fontId="49" fillId="0" borderId="24" xfId="2" applyFont="1" applyBorder="1" applyAlignment="1">
      <alignment horizontal="center"/>
    </xf>
    <xf numFmtId="0" fontId="15" fillId="0" borderId="3" xfId="2" applyBorder="1" applyAlignment="1">
      <alignment horizontal="left" indent="1"/>
    </xf>
    <xf numFmtId="49" fontId="15" fillId="0" borderId="3" xfId="2" applyNumberFormat="1" applyBorder="1" applyAlignment="1">
      <alignment horizontal="left" indent="1"/>
    </xf>
    <xf numFmtId="0" fontId="49" fillId="0" borderId="3" xfId="2" applyFont="1" applyBorder="1" applyAlignment="1">
      <alignment horizontal="center"/>
    </xf>
    <xf numFmtId="0" fontId="15" fillId="0" borderId="30" xfId="2" applyBorder="1" applyAlignment="1">
      <alignment horizontal="right"/>
    </xf>
    <xf numFmtId="0" fontId="15" fillId="0" borderId="31" xfId="2" applyBorder="1" applyAlignment="1">
      <alignment horizontal="right"/>
    </xf>
    <xf numFmtId="0" fontId="15" fillId="0" borderId="31" xfId="2" applyBorder="1" applyAlignment="1" applyProtection="1">
      <alignment horizontal="left" indent="1"/>
      <protection locked="0"/>
    </xf>
    <xf numFmtId="0" fontId="15" fillId="0" borderId="32" xfId="2" applyBorder="1" applyAlignment="1" applyProtection="1">
      <alignment horizontal="left" indent="1"/>
      <protection locked="0"/>
    </xf>
    <xf numFmtId="0" fontId="15" fillId="0" borderId="3" xfId="2" applyBorder="1" applyAlignment="1" applyProtection="1">
      <alignment horizontal="left" indent="1"/>
      <protection locked="0"/>
    </xf>
    <xf numFmtId="0" fontId="15" fillId="0" borderId="29" xfId="2" applyBorder="1" applyAlignment="1" applyProtection="1">
      <alignment horizontal="left" indent="1"/>
      <protection locked="0"/>
    </xf>
    <xf numFmtId="0" fontId="15" fillId="0" borderId="14" xfId="2" applyBorder="1" applyAlignment="1" applyProtection="1">
      <alignment horizontal="left" indent="1"/>
      <protection locked="0"/>
    </xf>
    <xf numFmtId="0" fontId="15" fillId="0" borderId="34" xfId="2" applyBorder="1" applyAlignment="1" applyProtection="1">
      <alignment horizontal="left" indent="1"/>
      <protection locked="0"/>
    </xf>
    <xf numFmtId="0" fontId="15" fillId="0" borderId="33" xfId="2" applyBorder="1" applyAlignment="1">
      <alignment horizontal="right"/>
    </xf>
    <xf numFmtId="0" fontId="15" fillId="0" borderId="14" xfId="2" applyBorder="1" applyAlignment="1">
      <alignment horizontal="right"/>
    </xf>
    <xf numFmtId="0" fontId="15" fillId="0" borderId="28" xfId="2" applyBorder="1" applyAlignment="1" applyProtection="1">
      <alignment horizontal="center"/>
      <protection locked="0"/>
    </xf>
    <xf numFmtId="0" fontId="15" fillId="0" borderId="3" xfId="2" applyBorder="1" applyAlignment="1" applyProtection="1">
      <alignment horizontal="center"/>
      <protection locked="0"/>
    </xf>
    <xf numFmtId="0" fontId="15" fillId="0" borderId="29" xfId="2" applyBorder="1" applyAlignment="1" applyProtection="1">
      <alignment horizontal="center"/>
      <protection locked="0"/>
    </xf>
    <xf numFmtId="0" fontId="36" fillId="0" borderId="0" xfId="2" applyFont="1" applyAlignment="1">
      <alignment horizontal="left" wrapText="1" indent="3"/>
    </xf>
    <xf numFmtId="0" fontId="36" fillId="0" borderId="0" xfId="2" applyFont="1" applyAlignment="1">
      <alignment horizontal="left" indent="3"/>
    </xf>
    <xf numFmtId="0" fontId="15" fillId="0" borderId="30" xfId="2" applyBorder="1" applyAlignment="1" applyProtection="1">
      <alignment horizontal="center"/>
      <protection locked="0"/>
    </xf>
    <xf numFmtId="0" fontId="15" fillId="0" borderId="31" xfId="2" applyBorder="1" applyAlignment="1" applyProtection="1">
      <alignment horizontal="center"/>
      <protection locked="0"/>
    </xf>
    <xf numFmtId="0" fontId="15" fillId="0" borderId="32" xfId="2" applyBorder="1" applyAlignment="1" applyProtection="1">
      <alignment horizontal="center"/>
      <protection locked="0"/>
    </xf>
    <xf numFmtId="0" fontId="15" fillId="0" borderId="33" xfId="2" applyBorder="1" applyAlignment="1" applyProtection="1">
      <alignment horizontal="center"/>
      <protection locked="0"/>
    </xf>
    <xf numFmtId="0" fontId="15" fillId="0" borderId="14" xfId="2" applyBorder="1" applyAlignment="1" applyProtection="1">
      <alignment horizontal="center"/>
      <protection locked="0"/>
    </xf>
    <xf numFmtId="0" fontId="15" fillId="0" borderId="34" xfId="2" applyBorder="1" applyAlignment="1" applyProtection="1">
      <alignment horizontal="center"/>
      <protection locked="0"/>
    </xf>
    <xf numFmtId="0" fontId="47" fillId="0" borderId="0" xfId="2" applyFont="1" applyAlignment="1">
      <alignment horizontal="center" vertical="center"/>
    </xf>
    <xf numFmtId="0" fontId="40" fillId="10" borderId="0" xfId="2" applyFont="1" applyFill="1" applyAlignment="1">
      <alignment horizontal="left" indent="1"/>
    </xf>
    <xf numFmtId="0" fontId="45" fillId="10" borderId="0" xfId="2" applyFont="1" applyFill="1" applyAlignment="1">
      <alignment horizontal="left" indent="1"/>
    </xf>
    <xf numFmtId="0" fontId="15" fillId="0" borderId="28" xfId="2" applyBorder="1" applyAlignment="1">
      <alignment horizontal="right"/>
    </xf>
    <xf numFmtId="0" fontId="15" fillId="0" borderId="3" xfId="2" applyBorder="1" applyAlignment="1">
      <alignment horizontal="right"/>
    </xf>
    <xf numFmtId="0" fontId="50" fillId="0" borderId="26" xfId="2" applyFont="1" applyBorder="1" applyAlignment="1">
      <alignment horizontal="center" vertical="center"/>
    </xf>
    <xf numFmtId="0" fontId="50" fillId="0" borderId="25" xfId="2" applyFont="1" applyBorder="1" applyAlignment="1">
      <alignment horizontal="center" vertical="center"/>
    </xf>
    <xf numFmtId="0" fontId="50" fillId="0" borderId="27" xfId="2" applyFont="1" applyBorder="1" applyAlignment="1">
      <alignment horizontal="center" vertical="center"/>
    </xf>
    <xf numFmtId="0" fontId="50" fillId="0" borderId="35" xfId="2" applyFont="1" applyBorder="1" applyAlignment="1">
      <alignment horizontal="center" vertical="center"/>
    </xf>
    <xf numFmtId="0" fontId="50" fillId="0" borderId="0" xfId="2" applyFont="1" applyAlignment="1">
      <alignment horizontal="center" vertical="center"/>
    </xf>
    <xf numFmtId="0" fontId="50" fillId="0" borderId="39" xfId="2" applyFont="1" applyBorder="1" applyAlignment="1">
      <alignment horizontal="center" vertical="center"/>
    </xf>
    <xf numFmtId="0" fontId="50" fillId="0" borderId="40" xfId="2" applyFont="1" applyBorder="1" applyAlignment="1">
      <alignment horizontal="center" vertical="center"/>
    </xf>
    <xf numFmtId="0" fontId="50" fillId="0" borderId="18" xfId="2" applyFont="1" applyBorder="1" applyAlignment="1">
      <alignment horizontal="center" vertical="center"/>
    </xf>
    <xf numFmtId="0" fontId="50" fillId="0" borderId="41" xfId="2" applyFont="1" applyBorder="1" applyAlignment="1">
      <alignment horizontal="center" vertical="center"/>
    </xf>
    <xf numFmtId="0" fontId="15" fillId="0" borderId="42" xfId="2" applyBorder="1" applyAlignment="1">
      <alignment horizontal="right"/>
    </xf>
    <xf numFmtId="0" fontId="15" fillId="0" borderId="43" xfId="2" applyBorder="1" applyAlignment="1">
      <alignment horizontal="right"/>
    </xf>
    <xf numFmtId="0" fontId="15" fillId="0" borderId="12" xfId="2" applyBorder="1" applyAlignment="1">
      <alignment horizontal="left" wrapText="1"/>
    </xf>
    <xf numFmtId="0" fontId="36" fillId="0" borderId="0" xfId="2" applyFont="1" applyAlignment="1">
      <alignment horizontal="left" vertical="top" indent="1"/>
    </xf>
    <xf numFmtId="0" fontId="36" fillId="0" borderId="0" xfId="2" applyFont="1" applyAlignment="1">
      <alignment horizontal="left" vertical="top" wrapText="1" indent="1"/>
    </xf>
    <xf numFmtId="0" fontId="38" fillId="0" borderId="0" xfId="2" applyFont="1" applyAlignment="1">
      <alignment horizontal="left" vertical="top" wrapText="1" indent="1"/>
    </xf>
    <xf numFmtId="0" fontId="0" fillId="0" borderId="0" xfId="0" applyBorder="1"/>
    <xf numFmtId="0" fontId="7" fillId="0" borderId="10" xfId="0" applyFont="1" applyBorder="1" applyAlignment="1">
      <alignment horizontal="center"/>
    </xf>
    <xf numFmtId="49" fontId="7" fillId="0" borderId="13" xfId="0" applyNumberFormat="1" applyFont="1" applyBorder="1" applyAlignment="1" applyProtection="1">
      <alignment horizontal="center"/>
      <protection locked="0"/>
    </xf>
    <xf numFmtId="167" fontId="7" fillId="0" borderId="13" xfId="0" applyNumberFormat="1" applyFont="1" applyBorder="1" applyAlignment="1" applyProtection="1">
      <alignment horizontal="center"/>
      <protection locked="0"/>
    </xf>
    <xf numFmtId="166" fontId="7" fillId="0" borderId="13" xfId="0" applyNumberFormat="1" applyFont="1" applyBorder="1" applyAlignment="1" applyProtection="1">
      <alignment horizontal="center"/>
      <protection locked="0"/>
    </xf>
    <xf numFmtId="166" fontId="7" fillId="0" borderId="13" xfId="0" applyNumberFormat="1" applyFont="1" applyBorder="1" applyAlignment="1">
      <alignment horizontal="center"/>
    </xf>
    <xf numFmtId="165" fontId="7" fillId="0" borderId="13" xfId="1" applyNumberFormat="1" applyFont="1" applyFill="1" applyBorder="1" applyAlignment="1">
      <alignment horizontal="center"/>
    </xf>
    <xf numFmtId="44" fontId="7" fillId="0" borderId="13" xfId="0" applyNumberFormat="1" applyFont="1" applyBorder="1" applyAlignment="1">
      <alignment horizontal="center"/>
    </xf>
    <xf numFmtId="43" fontId="7" fillId="0" borderId="13" xfId="0" applyNumberFormat="1" applyFont="1" applyBorder="1" applyAlignment="1">
      <alignment horizontal="center"/>
    </xf>
    <xf numFmtId="43" fontId="7" fillId="0" borderId="8" xfId="0" applyNumberFormat="1" applyFont="1" applyBorder="1" applyAlignment="1">
      <alignment horizontal="center"/>
    </xf>
    <xf numFmtId="0" fontId="5" fillId="4" borderId="9" xfId="0" applyFont="1" applyFill="1" applyBorder="1" applyAlignment="1">
      <alignment horizontal="left" vertical="center" indent="42"/>
    </xf>
    <xf numFmtId="0" fontId="0" fillId="5" borderId="3" xfId="0" applyFill="1" applyBorder="1" applyAlignment="1" applyProtection="1">
      <alignment horizontal="left" indent="1"/>
    </xf>
    <xf numFmtId="0" fontId="0" fillId="0" borderId="7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73" fontId="0" fillId="0" borderId="3" xfId="0" applyNumberFormat="1" applyBorder="1" applyAlignment="1">
      <alignment horizontal="left"/>
    </xf>
    <xf numFmtId="173" fontId="0" fillId="0" borderId="4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49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173" fontId="0" fillId="0" borderId="13" xfId="0" applyNumberFormat="1" applyBorder="1" applyAlignment="1">
      <alignment horizontal="left"/>
    </xf>
    <xf numFmtId="173" fontId="0" fillId="0" borderId="8" xfId="0" applyNumberFormat="1" applyBorder="1" applyAlignment="1">
      <alignment horizontal="left"/>
    </xf>
    <xf numFmtId="0" fontId="7" fillId="0" borderId="3" xfId="0" applyNumberFormat="1" applyFont="1" applyBorder="1" applyProtection="1"/>
    <xf numFmtId="0" fontId="7" fillId="0" borderId="3" xfId="0" applyFont="1" applyBorder="1" applyAlignment="1" applyProtection="1">
      <alignment horizontal="center"/>
    </xf>
    <xf numFmtId="166" fontId="3" fillId="3" borderId="0" xfId="0" applyNumberFormat="1" applyFont="1" applyFill="1"/>
    <xf numFmtId="0" fontId="0" fillId="0" borderId="15" xfId="0" applyBorder="1" applyAlignment="1" applyProtection="1">
      <alignment horizontal="left"/>
      <protection locked="0"/>
    </xf>
    <xf numFmtId="167" fontId="0" fillId="0" borderId="15" xfId="0" applyNumberFormat="1" applyBorder="1" applyAlignment="1" applyProtection="1">
      <alignment horizontal="left"/>
      <protection locked="0"/>
    </xf>
    <xf numFmtId="166" fontId="0" fillId="0" borderId="15" xfId="0" applyNumberFormat="1" applyBorder="1" applyAlignment="1" applyProtection="1">
      <alignment horizontal="left"/>
      <protection locked="0"/>
    </xf>
    <xf numFmtId="166" fontId="0" fillId="0" borderId="15" xfId="0" applyNumberFormat="1" applyBorder="1" applyAlignment="1">
      <alignment horizontal="left"/>
    </xf>
    <xf numFmtId="9" fontId="0" fillId="0" borderId="15" xfId="4" applyFont="1" applyBorder="1" applyAlignment="1" applyProtection="1">
      <alignment horizontal="center"/>
    </xf>
    <xf numFmtId="0" fontId="14" fillId="0" borderId="0" xfId="0" applyFont="1" applyBorder="1" applyAlignment="1">
      <alignment horizontal="left" vertical="center"/>
    </xf>
    <xf numFmtId="10" fontId="32" fillId="0" borderId="0" xfId="0" applyNumberFormat="1" applyFont="1" applyBorder="1" applyAlignment="1">
      <alignment horizontal="center"/>
    </xf>
    <xf numFmtId="49" fontId="7" fillId="5" borderId="3" xfId="0" applyNumberFormat="1" applyFont="1" applyFill="1" applyBorder="1" applyAlignment="1" applyProtection="1">
      <alignment horizontal="center"/>
    </xf>
    <xf numFmtId="0" fontId="18" fillId="3" borderId="0" xfId="0" applyFont="1" applyFill="1" applyAlignment="1">
      <alignment horizontal="center" vertical="center"/>
    </xf>
  </cellXfs>
  <cellStyles count="6">
    <cellStyle name="Comma" xfId="1" builtinId="3"/>
    <cellStyle name="Comma 3" xfId="3" xr:uid="{A62EFBB0-0B96-4DD9-A11D-2732176FED75}"/>
    <cellStyle name="Hyperlink" xfId="5" builtinId="8"/>
    <cellStyle name="Normal" xfId="0" builtinId="0"/>
    <cellStyle name="Normal 4" xfId="2" xr:uid="{43DFB7BC-0933-4247-8384-7208D288D2BA}"/>
    <cellStyle name="Percent" xfId="4" builtinId="5"/>
  </cellStyles>
  <dxfs count="357">
    <dxf>
      <numFmt numFmtId="184" formatCode="[$NAD]\ #,##0.00"/>
    </dxf>
    <dxf>
      <numFmt numFmtId="34" formatCode="_-&quot;R&quot;* #,##0.00_-;\-&quot;R&quot;* #,##0.00_-;_-&quot;R&quot;* &quot;-&quot;??_-;_-@_-"/>
    </dxf>
    <dxf>
      <numFmt numFmtId="183" formatCode="_-[$USD]\ * #,##0.00_-;\-[$USD]\ * #,##0.00_-;_-[$USD]\ * &quot;-&quot;??_-;_-@_-"/>
    </dxf>
    <dxf>
      <numFmt numFmtId="34" formatCode="_-&quot;R&quot;* #,##0.00_-;\-&quot;R&quot;* #,##0.00_-;_-&quot;R&quot;* &quot;-&quot;??_-;_-@_-"/>
    </dxf>
    <dxf>
      <fill>
        <patternFill>
          <bgColor theme="9" tint="0.39994506668294322"/>
        </patternFill>
      </fill>
    </dxf>
    <dxf>
      <fill>
        <patternFill>
          <bgColor rgb="FFFED2D3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EBEB"/>
        </patternFill>
      </fill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11" formatCode="&quot;R&quot;#,##0.00;\-&quot;R&quot;#,##0.00"/>
    </dxf>
    <dxf>
      <fill>
        <patternFill>
          <bgColor theme="0"/>
        </patternFill>
      </fill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numFmt numFmtId="167" formatCode="#,##0.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#,##0.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3" formatCode="_-[$$-409]* #,##0_ ;_-[$$-409]* \-#,##0\ ;_-[$$-409]* &quot;-&quot;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3" formatCode="_-[$$-409]* #,##0_ ;_-[$$-409]* \-#,##0\ ;_-[$$-409]* &quot;-&quot;_ ;_-@_ 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7" formatCode="#,##0.00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7" formatCode="#,##0.0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#,##0.0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#,##0.00_ ;\-#,##0.00\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#,##0.0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6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#,##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#,##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9D36F846-2E6B-4F2D-BAB9-0AA348F24A39}"/>
    <tableStyle name="PivotStyleLight1 2" table="0" count="11" xr9:uid="{0F081503-316A-44B9-BC71-3C6B46A60467}">
      <tableStyleElement type="wholeTable" dxfId="356"/>
      <tableStyleElement type="headerRow" dxfId="355"/>
      <tableStyleElement type="totalRow" dxfId="354"/>
      <tableStyleElement type="firstRowStripe" dxfId="353"/>
      <tableStyleElement type="firstColumnStripe" dxfId="352"/>
      <tableStyleElement type="firstSubtotalRow" dxfId="351"/>
      <tableStyleElement type="secondSubtotalRow" dxfId="350"/>
      <tableStyleElement type="firstRowSubheading" dxfId="349"/>
      <tableStyleElement type="secondRowSubheading" dxfId="348"/>
      <tableStyleElement type="pageFieldLabels" dxfId="347"/>
      <tableStyleElement type="pageFieldValues" dxfId="346"/>
    </tableStyle>
  </tableStyles>
  <colors>
    <mruColors>
      <color rgb="FF001A34"/>
      <color rgb="FFFFEBEB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6/relationships/vbaProject" Target="vbaProject.bin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38100</xdr:colOff>
          <xdr:row>29</xdr:row>
          <xdr:rowOff>114300</xdr:rowOff>
        </xdr:from>
        <xdr:to>
          <xdr:col>3</xdr:col>
          <xdr:colOff>41910</xdr:colOff>
          <xdr:row>31</xdr:row>
          <xdr:rowOff>106680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0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Refresh Tables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38100</xdr:colOff>
          <xdr:row>31</xdr:row>
          <xdr:rowOff>182880</xdr:rowOff>
        </xdr:from>
        <xdr:to>
          <xdr:col>3</xdr:col>
          <xdr:colOff>41910</xdr:colOff>
          <xdr:row>33</xdr:row>
          <xdr:rowOff>152400</xdr:rowOff>
        </xdr:to>
        <xdr:sp macro="" textlink="">
          <xdr:nvSpPr>
            <xdr:cNvPr id="15363" name="Button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0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Adjust Columns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106679</xdr:colOff>
          <xdr:row>1</xdr:row>
          <xdr:rowOff>72390</xdr:rowOff>
        </xdr:from>
        <xdr:to>
          <xdr:col>3</xdr:col>
          <xdr:colOff>51299</xdr:colOff>
          <xdr:row>2</xdr:row>
          <xdr:rowOff>148590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Row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261619</xdr:colOff>
          <xdr:row>1</xdr:row>
          <xdr:rowOff>72390</xdr:rowOff>
        </xdr:from>
        <xdr:to>
          <xdr:col>4</xdr:col>
          <xdr:colOff>120514</xdr:colOff>
          <xdr:row>2</xdr:row>
          <xdr:rowOff>148590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Delete Row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332739</xdr:colOff>
          <xdr:row>1</xdr:row>
          <xdr:rowOff>72390</xdr:rowOff>
        </xdr:from>
        <xdr:to>
          <xdr:col>5</xdr:col>
          <xdr:colOff>145914</xdr:colOff>
          <xdr:row>2</xdr:row>
          <xdr:rowOff>148590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Sales Table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356233</xdr:colOff>
          <xdr:row>1</xdr:row>
          <xdr:rowOff>72390</xdr:rowOff>
        </xdr:from>
        <xdr:to>
          <xdr:col>6</xdr:col>
          <xdr:colOff>575173</xdr:colOff>
          <xdr:row>2</xdr:row>
          <xdr:rowOff>148590</xdr:rowOff>
        </xdr:to>
        <xdr:sp macro="" textlink="">
          <xdr:nvSpPr>
            <xdr:cNvPr id="5130" name="Butto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Adjust Columns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104775</xdr:colOff>
          <xdr:row>1</xdr:row>
          <xdr:rowOff>38100</xdr:rowOff>
        </xdr:from>
        <xdr:to>
          <xdr:col>2</xdr:col>
          <xdr:colOff>842010</xdr:colOff>
          <xdr:row>2</xdr:row>
          <xdr:rowOff>142875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Row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1133475</xdr:colOff>
          <xdr:row>1</xdr:row>
          <xdr:rowOff>38100</xdr:rowOff>
        </xdr:from>
        <xdr:to>
          <xdr:col>3</xdr:col>
          <xdr:colOff>710565</xdr:colOff>
          <xdr:row>2</xdr:row>
          <xdr:rowOff>142875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Delete Row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76200</xdr:rowOff>
        </xdr:from>
        <xdr:to>
          <xdr:col>2</xdr:col>
          <xdr:colOff>1171575</xdr:colOff>
          <xdr:row>15</xdr:row>
          <xdr:rowOff>118110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Quote Comparison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28575</xdr:colOff>
          <xdr:row>1</xdr:row>
          <xdr:rowOff>38100</xdr:rowOff>
        </xdr:from>
        <xdr:to>
          <xdr:col>2</xdr:col>
          <xdr:colOff>857250</xdr:colOff>
          <xdr:row>2</xdr:row>
          <xdr:rowOff>133350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200025</xdr:colOff>
          <xdr:row>1</xdr:row>
          <xdr:rowOff>38100</xdr:rowOff>
        </xdr:from>
        <xdr:to>
          <xdr:col>3</xdr:col>
          <xdr:colOff>1028700</xdr:colOff>
          <xdr:row>2</xdr:row>
          <xdr:rowOff>133350</xdr:rowOff>
        </xdr:to>
        <xdr:sp macro="" textlink="">
          <xdr:nvSpPr>
            <xdr:cNvPr id="6149" name="Butto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Delete Rows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85725</xdr:rowOff>
        </xdr:from>
        <xdr:to>
          <xdr:col>9</xdr:col>
          <xdr:colOff>272415</xdr:colOff>
          <xdr:row>5</xdr:row>
          <xdr:rowOff>70485</xdr:rowOff>
        </xdr:to>
        <xdr:sp macro="" textlink="">
          <xdr:nvSpPr>
            <xdr:cNvPr id="11272" name="Button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4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Refresh Tables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3</xdr:row>
          <xdr:rowOff>76200</xdr:rowOff>
        </xdr:from>
        <xdr:to>
          <xdr:col>10</xdr:col>
          <xdr:colOff>299085</xdr:colOff>
          <xdr:row>5</xdr:row>
          <xdr:rowOff>64770</xdr:rowOff>
        </xdr:to>
        <xdr:sp macro="" textlink="">
          <xdr:nvSpPr>
            <xdr:cNvPr id="11273" name="Button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4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Cash Flow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163830</xdr:colOff>
          <xdr:row>6</xdr:row>
          <xdr:rowOff>175263</xdr:rowOff>
        </xdr:from>
        <xdr:to>
          <xdr:col>22</xdr:col>
          <xdr:colOff>217170</xdr:colOff>
          <xdr:row>9</xdr:row>
          <xdr:rowOff>179425</xdr:rowOff>
        </xdr:to>
        <xdr:sp macro="" textlink="">
          <xdr:nvSpPr>
            <xdr:cNvPr id="11274" name="Button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4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Sales Quote        (Only Product)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</xdr:row>
          <xdr:rowOff>38100</xdr:rowOff>
        </xdr:from>
        <xdr:to>
          <xdr:col>2</xdr:col>
          <xdr:colOff>946785</xdr:colOff>
          <xdr:row>2</xdr:row>
          <xdr:rowOff>120015</xdr:rowOff>
        </xdr:to>
        <xdr:sp macro="" textlink="">
          <xdr:nvSpPr>
            <xdr:cNvPr id="11277" name="Button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4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Adjust Columns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80010</xdr:colOff>
          <xdr:row>1</xdr:row>
          <xdr:rowOff>72390</xdr:rowOff>
        </xdr:from>
        <xdr:to>
          <xdr:col>3</xdr:col>
          <xdr:colOff>948690</xdr:colOff>
          <xdr:row>2</xdr:row>
          <xdr:rowOff>148590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Cash Flow Tables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1177290</xdr:colOff>
          <xdr:row>1</xdr:row>
          <xdr:rowOff>76200</xdr:rowOff>
        </xdr:from>
        <xdr:to>
          <xdr:col>5</xdr:col>
          <xdr:colOff>796290</xdr:colOff>
          <xdr:row>2</xdr:row>
          <xdr:rowOff>148590</xdr:rowOff>
        </xdr:to>
        <xdr:sp macro="" textlink="">
          <xdr:nvSpPr>
            <xdr:cNvPr id="7171" name="Butto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Adjust Columns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28</xdr:row>
          <xdr:rowOff>66675</xdr:rowOff>
        </xdr:from>
        <xdr:to>
          <xdr:col>7</xdr:col>
          <xdr:colOff>956310</xdr:colOff>
          <xdr:row>29</xdr:row>
          <xdr:rowOff>148590</xdr:rowOff>
        </xdr:to>
        <xdr:sp macro="" textlink="">
          <xdr:nvSpPr>
            <xdr:cNvPr id="7172" name="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Back to Costing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28</xdr:row>
          <xdr:rowOff>66675</xdr:rowOff>
        </xdr:from>
        <xdr:to>
          <xdr:col>9</xdr:col>
          <xdr:colOff>727710</xdr:colOff>
          <xdr:row>29</xdr:row>
          <xdr:rowOff>148590</xdr:rowOff>
        </xdr:to>
        <xdr:sp macro="" textlink="">
          <xdr:nvSpPr>
            <xdr:cNvPr id="7173" name="Button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Average Payment Days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39</xdr:row>
      <xdr:rowOff>21167</xdr:rowOff>
    </xdr:from>
    <xdr:to>
      <xdr:col>13</xdr:col>
      <xdr:colOff>560917</xdr:colOff>
      <xdr:row>45</xdr:row>
      <xdr:rowOff>148167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493501" y="8815917"/>
          <a:ext cx="560916" cy="13652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560916</xdr:colOff>
      <xdr:row>33</xdr:row>
      <xdr:rowOff>222250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2869333" y="7037917"/>
          <a:ext cx="560916" cy="68791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31750</xdr:colOff>
      <xdr:row>22</xdr:row>
      <xdr:rowOff>42334</xdr:rowOff>
    </xdr:from>
    <xdr:to>
      <xdr:col>14</xdr:col>
      <xdr:colOff>592666</xdr:colOff>
      <xdr:row>27</xdr:row>
      <xdr:rowOff>190501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2467167" y="5005917"/>
          <a:ext cx="560916" cy="131233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42333</xdr:colOff>
      <xdr:row>12</xdr:row>
      <xdr:rowOff>21167</xdr:rowOff>
    </xdr:from>
    <xdr:to>
      <xdr:col>15</xdr:col>
      <xdr:colOff>603249</xdr:colOff>
      <xdr:row>13</xdr:row>
      <xdr:rowOff>211667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3091583" y="2783417"/>
          <a:ext cx="560916" cy="41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10583</xdr:colOff>
      <xdr:row>15</xdr:row>
      <xdr:rowOff>10583</xdr:rowOff>
    </xdr:from>
    <xdr:to>
      <xdr:col>15</xdr:col>
      <xdr:colOff>571499</xdr:colOff>
      <xdr:row>17</xdr:row>
      <xdr:rowOff>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3059833" y="3439583"/>
          <a:ext cx="560916" cy="433917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6</xdr:row>
          <xdr:rowOff>28575</xdr:rowOff>
        </xdr:from>
        <xdr:to>
          <xdr:col>11</xdr:col>
          <xdr:colOff>171450</xdr:colOff>
          <xdr:row>8</xdr:row>
          <xdr:rowOff>114300</xdr:rowOff>
        </xdr:to>
        <xdr:sp macro="" textlink="">
          <xdr:nvSpPr>
            <xdr:cNvPr id="22550" name="Button 22" hidden="1">
              <a:extLst>
                <a:ext uri="{63B3BB69-23CF-44E3-9099-C40C66FF867C}">
                  <a14:compatExt spid="_x0000_s22550"/>
                </a:ext>
                <a:ext uri="{FF2B5EF4-FFF2-40B4-BE49-F238E27FC236}">
                  <a16:creationId xmlns:a16="http://schemas.microsoft.com/office/drawing/2014/main" id="{00000000-0008-0000-0900-00001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Get PDF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42333</xdr:colOff>
      <xdr:row>6</xdr:row>
      <xdr:rowOff>0</xdr:rowOff>
    </xdr:from>
    <xdr:to>
      <xdr:col>15</xdr:col>
      <xdr:colOff>603249</xdr:colOff>
      <xdr:row>7</xdr:row>
      <xdr:rowOff>169333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2731750" y="1555750"/>
          <a:ext cx="560916" cy="3810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9</xdr:row>
          <xdr:rowOff>0</xdr:rowOff>
        </xdr:from>
        <xdr:to>
          <xdr:col>11</xdr:col>
          <xdr:colOff>171450</xdr:colOff>
          <xdr:row>11</xdr:row>
          <xdr:rowOff>123825</xdr:rowOff>
        </xdr:to>
        <xdr:sp macro="" textlink="">
          <xdr:nvSpPr>
            <xdr:cNvPr id="22551" name="Button 23" hidden="1">
              <a:extLst>
                <a:ext uri="{63B3BB69-23CF-44E3-9099-C40C66FF867C}">
                  <a14:compatExt spid="_x0000_s22551"/>
                </a:ext>
                <a:ext uri="{FF2B5EF4-FFF2-40B4-BE49-F238E27FC236}">
                  <a16:creationId xmlns:a16="http://schemas.microsoft.com/office/drawing/2014/main" id="{00000000-0008-0000-0900-00001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Back to Costing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47625</xdr:colOff>
      <xdr:row>9</xdr:row>
      <xdr:rowOff>23813</xdr:rowOff>
    </xdr:from>
    <xdr:to>
      <xdr:col>16</xdr:col>
      <xdr:colOff>1323</xdr:colOff>
      <xdr:row>10</xdr:row>
      <xdr:rowOff>193147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B5F88EC5-9552-4DBD-A49D-B6691A62B4E7}"/>
            </a:ext>
          </a:extLst>
        </xdr:cNvPr>
        <xdr:cNvSpPr/>
      </xdr:nvSpPr>
      <xdr:spPr>
        <a:xfrm>
          <a:off x="12882563" y="2238376"/>
          <a:ext cx="560916" cy="38364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429671D7-68CF-4A5D-9C16-05393A8D3A6C}" autoFormatId="16" applyNumberFormats="0" applyBorderFormats="0" applyFontFormats="0" applyPatternFormats="0" applyAlignmentFormats="0" applyWidthHeightFormats="0">
  <queryTableRefresh nextId="20" unboundColumnsRight="2">
    <queryTableFields count="11">
      <queryTableField id="1" name="Type" tableColumnId="1"/>
      <queryTableField id="2" name="Product" tableColumnId="2"/>
      <queryTableField id="7" name="UoM" tableColumnId="7"/>
      <queryTableField id="4" name="Quantity" tableColumnId="4"/>
      <queryTableField id="11" name="Purchase Price" tableColumnId="10"/>
      <queryTableField id="13" dataBound="0" tableColumnId="12"/>
      <queryTableField id="18" dataBound="0" tableColumnId="17"/>
      <queryTableField id="19" dataBound="0" tableColumnId="18"/>
      <queryTableField id="12" name="Purchase Cost" tableColumnId="11"/>
      <queryTableField id="14" dataBound="0" tableColumnId="13"/>
      <queryTableField id="15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09E62FB-2F99-4FA3-B30C-A7899A685330}" autoFormatId="16" applyNumberFormats="0" applyBorderFormats="0" applyFontFormats="0" applyPatternFormats="0" applyAlignmentFormats="0" applyWidthHeightFormats="0">
  <queryTableRefresh nextId="8">
    <queryTableFields count="7">
      <queryTableField id="1" name="Sort" tableColumnId="1"/>
      <queryTableField id="2" name="Type" tableColumnId="2"/>
      <queryTableField id="3" name="Product" tableColumnId="3"/>
      <queryTableField id="4" name="UoM" tableColumnId="4"/>
      <queryTableField id="5" name="Quantity" tableColumnId="5"/>
      <queryTableField id="6" name="Sales Price" tableColumnId="6"/>
      <queryTableField id="7" name="Sales Total" tableColumnId="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F24F2-A6C2-44E7-9449-0F32265298F6}" name="stock_cost" displayName="stock_cost" ref="C5:V6" totalsRowShown="0" headerRowDxfId="345" dataDxfId="343" headerRowBorderDxfId="344" tableBorderDxfId="342" totalsRowBorderDxfId="341">
  <autoFilter ref="C5:V6" xr:uid="{07FF24F2-A6C2-44E7-9449-0F32265298F6}"/>
  <tableColumns count="20">
    <tableColumn id="1" xr3:uid="{5CD80E06-1A91-485C-A2D3-5B98674B7220}" name="Stock Code" dataDxfId="340" totalsRowDxfId="339"/>
    <tableColumn id="2" xr3:uid="{77493774-6F66-4B81-A9EB-82DA6AE94DB5}" name="Product Name" dataDxfId="80" totalsRowDxfId="338"/>
    <tableColumn id="3" xr3:uid="{67A21E03-4976-4E88-A2F1-030EB8EF50FC}" name="Specification" dataDxfId="79" totalsRowDxfId="337">
      <calculatedColumnFormula>_xlfn.XLOOKUP(stock_cost[[#This Row],[Product Name]],Table22[Product Name],Table22[Specification],"",0,1)</calculatedColumnFormula>
    </tableColumn>
    <tableColumn id="5" xr3:uid="{D83AF790-449B-4671-90A5-CCE84E1A4C3C}" name="HS Code" dataDxfId="77" totalsRowDxfId="336">
      <calculatedColumnFormula>_xlfn.XLOOKUP(stock_cost[[#This Row],[Product Name]],Table22[Product Name],Table22[HS Code],"",0,1)</calculatedColumnFormula>
    </tableColumn>
    <tableColumn id="6" xr3:uid="{26C26DBD-90E7-4B16-9E1C-D0018E248EE8}" name="Packaging" dataDxfId="78" totalsRowDxfId="335"/>
    <tableColumn id="7" xr3:uid="{FFD0172B-132C-411B-B1B4-FF02A90A5550}" name="UoM" dataDxfId="334" totalsRowDxfId="333"/>
    <tableColumn id="21" xr3:uid="{73679E42-B6C5-497D-BE50-C4EE4B2C8651}" name="Country of Origin" dataDxfId="332" totalsRowDxfId="331"/>
    <tableColumn id="8" xr3:uid="{D628D797-72E1-405C-866B-6A8D384A3F3F}" name="Quantity" dataDxfId="330" totalsRowDxfId="329"/>
    <tableColumn id="9" xr3:uid="{30E1E1EB-8E0C-47E4-A839-CFFDC48C7A4B}" name="Cost Currency" dataDxfId="328" totalsRowDxfId="327"/>
    <tableColumn id="10" xr3:uid="{033CA619-1236-45C5-A986-1C50AEB560E8}" name="Price (VAT Excl)" dataDxfId="326" totalsRowDxfId="325"/>
    <tableColumn id="11" xr3:uid="{5502922F-D57F-4F64-B6B6-EA21D4E28546}" name="Total Cost" dataDxfId="324" totalsRowDxfId="323">
      <calculatedColumnFormula>IF(stock_cost[[#This Row],[Price (VAT Excl)]]="","",stock_cost[[#This Row],[Price (VAT Excl)]]*stock_cost[[#This Row],[Quantity]])</calculatedColumnFormula>
    </tableColumn>
    <tableColumn id="12" xr3:uid="{C3273106-F6EE-484D-B163-2C662D8AFE04}" name="Type" dataDxfId="322" totalsRowDxfId="321">
      <calculatedColumnFormula>IF(stock_cost[[#This Row],[Price (VAT Excl)]]="","","Stock")</calculatedColumnFormula>
    </tableColumn>
    <tableColumn id="13" xr3:uid="{63322A14-3170-4F0F-A844-50014BE41B42}" name="Quote Currency" dataDxfId="320" totalsRowDxfId="319">
      <calculatedColumnFormula>IF(Overview!$D$17="","",Overview!$D$17)</calculatedColumnFormula>
    </tableColumn>
    <tableColumn id="14" xr3:uid="{F61A582D-CC23-4FE5-986E-AC1250AC538B}" name="Exchange Rate" dataDxfId="318" totalsRowDxfId="317">
      <calculatedColumnFormula>IF(Overview!$D$18="","",Overview!$D$18)</calculatedColumnFormula>
    </tableColumn>
    <tableColumn id="15" xr3:uid="{1E2CF7F2-94F0-4AAB-A3BD-B8CF6D77304B}" name="Price (USD)" dataDxfId="316" totalsRowDxfId="315">
      <calculatedColumnFormula>IF(stock_cost[[#This Row],[Price (VAT Excl)]]="","",
  IF(stock_cost[[#This Row],[Cost Currency]]="USD",
           stock_cost[[#This Row],[Price (VAT Excl)]],
           stock_cost[[#This Row],[Price (VAT Excl)]]/stock_cost[[#This Row],[Exchange Rate]]
)
 )</calculatedColumnFormula>
    </tableColumn>
    <tableColumn id="16" xr3:uid="{EEEC355B-3BB9-4075-9BED-106023A607D6}" name="Cost (USD)" dataDxfId="314" totalsRowDxfId="313">
      <calculatedColumnFormula>IF(stock_cost[[#This Row],[Price (VAT Excl)]]="","",
  IF(stock_cost[[#This Row],[Cost Currency]]="USD",
           stock_cost[[#This Row],[Total Cost]],
           stock_cost[[#This Row],[Total Cost]]/stock_cost[[#This Row],[Exchange Rate]]
)
 )</calculatedColumnFormula>
    </tableColumn>
    <tableColumn id="17" xr3:uid="{A8055658-AE3C-4DD4-A5F0-B29E4364FE74}" name="Price (ZAR)" dataDxfId="312" totalsRowDxfId="311">
      <calculatedColumnFormula>IF(stock_cost[[#This Row],[Price (VAT Excl)]]="","",
  IF(stock_cost[[#This Row],[Cost Currency]]="ZAR",
           stock_cost[[#This Row],[Price (VAT Excl)]],
           stock_cost[[#This Row],[Price (VAT Excl)]]*stock_cost[[#This Row],[Exchange Rate]]
)
 )</calculatedColumnFormula>
    </tableColumn>
    <tableColumn id="18" xr3:uid="{86AF8031-C5A4-4B66-8E65-BE619B9BECEE}" name="Cost (ZAR)" dataDxfId="310" totalsRowDxfId="309">
      <calculatedColumnFormula>IF(stock_cost[[#This Row],[Price (VAT Excl)]]="","",
  IF(stock_cost[[#This Row],[Cost Currency]]="ZAR",
           stock_cost[[#This Row],[Total Cost]],
           stock_cost[[#This Row],[Total Cost]]*stock_cost[[#This Row],[Exchange Rate]]
)
 )</calculatedColumnFormula>
    </tableColumn>
    <tableColumn id="19" xr3:uid="{7BA8A793-66EA-40BD-9807-9C329C069358}" name="Price (DS)" dataDxfId="308" totalsRowDxfId="307">
      <calculatedColumnFormula>IF(stock_cost[[#This Row],[Quote Currency]]="","",
  IF(stock_cost[[#This Row],[Quote Currency]]="USD",
  stock_cost[[#This Row],[Price (USD)]],
  stock_cost[[#This Row],[Price (ZAR)]]
))</calculatedColumnFormula>
    </tableColumn>
    <tableColumn id="20" xr3:uid="{D88BA6E7-2267-419C-BDD5-52FF624D3EB2}" name="Cost (DS)" dataDxfId="306" totalsRowDxfId="305">
      <calculatedColumnFormula>IF(stock_cost[[#This Row],[Quote Currency]]="","",
  IF(stock_cost[[#This Row],[Quote Currency]]="USD",
  stock_cost[[#This Row],[Cost (USD)]],
  stock_cost[[#This Row],[Cost (ZAR)]]
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25719-720B-4801-8455-647A1477D76A}" name="transport_cost" displayName="transport_cost" ref="C5:U6" totalsRowShown="0" headerRowDxfId="304" dataDxfId="302" headerRowBorderDxfId="303" tableBorderDxfId="301">
  <autoFilter ref="C5:U6" xr:uid="{49D25719-720B-4801-8455-647A1477D76A}"/>
  <tableColumns count="19">
    <tableColumn id="17" xr3:uid="{593F3644-CDAC-4C28-9F00-11C2206EC517}" name="Transporter" dataDxfId="300"/>
    <tableColumn id="3" xr3:uid="{F90D44D4-EF4D-45BE-91E6-1B4A13B4D15D}" name="Deal No." dataDxfId="299">
      <calculatedColumnFormula>IF(Overview!$D$6="","",Overview!$D$6)</calculatedColumnFormula>
    </tableColumn>
    <tableColumn id="19" xr3:uid="{0C0F109B-5C31-44B5-9FC8-CE618367E56D}" name="Collection Point" dataDxfId="298"/>
    <tableColumn id="18" xr3:uid="{A3EE5DD4-A698-4862-B2BF-69E55D62CB4F}" name="Delivery Point" dataDxfId="297"/>
    <tableColumn id="4" xr3:uid="{877C1AA2-D626-49EC-A331-3065FC97D892}" name="UoM" dataDxfId="296"/>
    <tableColumn id="5" xr3:uid="{9CCE6276-AFCF-465F-9616-F19FAA68B646}" name="Quantity" dataDxfId="295"/>
    <tableColumn id="1" xr3:uid="{92047869-894E-4F59-A81D-C435EFC46988}" name="Quant Per Truck" dataDxfId="294"/>
    <tableColumn id="14" xr3:uid="{243CBA9F-1A05-4E3E-9935-C1475189D2BC}" name="Est Trucks" dataDxfId="293">
      <calculatedColumnFormula>IFERROR(ROUNDUP(transport_cost[[#This Row],[Quantity]]/transport_cost[[#This Row],[Quant Per Truck]],0),"")</calculatedColumnFormula>
    </tableColumn>
    <tableColumn id="2" xr3:uid="{FD15908A-7B91-455A-BA55-1D2900ABA5EE}" name="Cost Currency" dataDxfId="292"/>
    <tableColumn id="6" xr3:uid="{F80738DB-D8E4-41CB-A62B-96FDB62A6592}" name="Price" dataDxfId="291"/>
    <tableColumn id="8" xr3:uid="{6427EC10-768F-4F81-BB3B-50F73ADAAFE1}" name="Total Cost" dataDxfId="290">
      <calculatedColumnFormula>IF(transport_cost[[#This Row],[Price]]="","",transport_cost[[#This Row],[Price]]*transport_cost[[#This Row],[Quantity]])</calculatedColumnFormula>
    </tableColumn>
    <tableColumn id="7" xr3:uid="{4C469EBB-DE61-4447-8362-C9937F4299C8}" name="Quote Currency" dataDxfId="289" dataCellStyle="Comma">
      <calculatedColumnFormula>IF(Overview!$D$17="","",Overview!$D$17)</calculatedColumnFormula>
    </tableColumn>
    <tableColumn id="15" xr3:uid="{09D723AE-F517-4FBB-A015-E604CF3091A5}" name="Exchange Rate" dataDxfId="288">
      <calculatedColumnFormula>IF(Overview!$D$18="","",Overview!$D$18)</calculatedColumnFormula>
    </tableColumn>
    <tableColumn id="9" xr3:uid="{28135F23-0E86-4F94-B81E-BAE5E7309B45}" name="Price (USD)" dataDxfId="287">
      <calculatedColumnFormula>IF(transport_cost[[#This Row],[Price]]="","",
  IF(transport_cost[[#This Row],[Cost Currency]]="USD",
           transport_cost[[#This Row],[Price]],
           transport_cost[[#This Row],[Price]]/transport_cost[[#This Row],[Exchange Rate]]
)
 )</calculatedColumnFormula>
    </tableColumn>
    <tableColumn id="10" xr3:uid="{9C0657BD-1FB7-4880-8AAB-F4D78BA8FA85}" name="Cost (USD)" dataDxfId="286">
      <calculatedColumnFormula>IF(transport_cost[[#This Row],[Price]]="","",
  IF(transport_cost[[#This Row],[Cost Currency]]="USD",
           transport_cost[[#This Row],[Total Cost]],
           transport_cost[[#This Row],[Total Cost]]/transport_cost[[#This Row],[Exchange Rate]]
)
 )</calculatedColumnFormula>
    </tableColumn>
    <tableColumn id="11" xr3:uid="{645D8CC9-3D9E-406C-999A-C877ED3F2D94}" name="Price (ZAR)" dataDxfId="285">
      <calculatedColumnFormula>IF(transport_cost[[#This Row],[Price]]="","",
  IF(transport_cost[[#This Row],[Cost Currency]]="ZAR",
           transport_cost[[#This Row],[Price]],
         transport_cost[[#This Row],[Price]]*transport_cost[[#This Row],[Exchange Rate]]
)
 )</calculatedColumnFormula>
    </tableColumn>
    <tableColumn id="12" xr3:uid="{D021602A-43A4-4254-AD09-E6C846F5449F}" name="Cost (ZAR)" dataDxfId="284">
      <calculatedColumnFormula>IF(transport_cost[[#This Row],[Price]]="","",
  IF(transport_cost[[#This Row],[Cost Currency]]="ZAR",
           transport_cost[[#This Row],[Total Cost]],
           transport_cost[[#This Row],[Total Cost]]*transport_cost[[#This Row],[Exchange Rate]]
)
 )</calculatedColumnFormula>
    </tableColumn>
    <tableColumn id="13" xr3:uid="{A7E42109-EC91-44F9-AEE7-A7CB025BC535}" name="Price (DS)" dataDxfId="283">
      <calculatedColumnFormula>IF(transport_cost[[#This Row],[Quote Currency]]="","",
  IF(transport_cost[[#This Row],[Quote Currency]]="USD",
  transport_cost[[#This Row],[Price (USD)]],
  transport_cost[[#This Row],[Price (ZAR)]]
))</calculatedColumnFormula>
    </tableColumn>
    <tableColumn id="16" xr3:uid="{0D4EA796-19A6-4C0B-B750-F9712F41A8FA}" name="Cost (DS)" dataDxfId="282">
      <calculatedColumnFormula>IF(transport_cost[[#This Row],[Quote Currency]]="","",
  IF(transport_cost[[#This Row],[Quote Currency]]="USD",
  transport_cost[[#This Row],[Cost (USD)]],
  transport_cost[[#This Row],[Cost (ZAR)]]
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1DE23A-A396-4C84-B7A5-051C1C8960CA}" name="ad_hoc_cost" displayName="ad_hoc_cost" ref="C5:R6" totalsRowShown="0" headerRowDxfId="108" dataDxfId="281" headerRowBorderDxfId="126" tableBorderDxfId="127" totalsRowBorderDxfId="125">
  <autoFilter ref="C5:R6" xr:uid="{B01DE23A-A396-4C84-B7A5-051C1C8960CA}"/>
  <tableColumns count="16">
    <tableColumn id="1" xr3:uid="{37789163-696C-41E4-9684-501E3BF8D32E}" name="Deal No." dataDxfId="124">
      <calculatedColumnFormula>IF(Overview!$D$6="","",Overview!$D$6)</calculatedColumnFormula>
    </tableColumn>
    <tableColumn id="2" xr3:uid="{97202A04-8BA6-4D7C-8F27-C75E4C8ABC82}" name="AD Hoc Cost" dataDxfId="123"/>
    <tableColumn id="3" xr3:uid="{50A5B7CE-D8E2-4225-B99E-F76759E309FD}" name="UoM" dataDxfId="122"/>
    <tableColumn id="4" xr3:uid="{0A3A0576-D5E6-4DC0-B78E-F63AE1E544B4}" name="Quantity" dataDxfId="121"/>
    <tableColumn id="5" xr3:uid="{E32863A8-3E4D-4E75-8AFE-C03E4962978C}" name="Cost Currency" dataDxfId="120"/>
    <tableColumn id="7" xr3:uid="{FEDBA29D-4227-490F-887A-4BF5C33728C4}" name="Price (VAT Excl)" dataDxfId="119"/>
    <tableColumn id="8" xr3:uid="{44FCAD85-0C5C-4243-8E69-1804FB12F336}" name="Total Cost" dataDxfId="118">
      <calculatedColumnFormula>IF(ad_hoc_cost[[#This Row],[Price (VAT Excl)]]="","",ad_hoc_cost[[#This Row],[Price (VAT Excl)]]*ad_hoc_cost[[#This Row],[Quantity]])</calculatedColumnFormula>
    </tableColumn>
    <tableColumn id="9" xr3:uid="{752A4B50-BDA5-4BD1-B347-99A29CCDF65F}" name="Type" dataDxfId="117" dataCellStyle="Comma">
      <calculatedColumnFormula>"Ad Hoc"</calculatedColumnFormula>
    </tableColumn>
    <tableColumn id="6" xr3:uid="{FEF71CD7-1677-4DA2-B031-BD1FA0A495EF}" name="Quote Currency" dataDxfId="116" dataCellStyle="Comma">
      <calculatedColumnFormula>IF(Overview!$D$17="","",Overview!$D$17)</calculatedColumnFormula>
    </tableColumn>
    <tableColumn id="10" xr3:uid="{C511C921-632D-435F-92EB-9606601BC8AF}" name="Exchange Rate" dataDxfId="115">
      <calculatedColumnFormula>IF(Overview!$D$18="","",Overview!$D$18)</calculatedColumnFormula>
    </tableColumn>
    <tableColumn id="11" xr3:uid="{37A387F8-249B-49A0-925A-F0672EAD8EC7}" name="Price (USD)" dataDxfId="114">
      <calculatedColumnFormula>IF(ad_hoc_cost[[#This Row],[Price (VAT Excl)]]="","",
  IF(ad_hoc_cost[[#This Row],[Cost Currency]]="USD",
           ad_hoc_cost[[#This Row],[Price (VAT Excl)]],
           ad_hoc_cost[[#This Row],[Price (VAT Excl)]]/ad_hoc_cost[[#This Row],[Exchange Rate]]
)
 )</calculatedColumnFormula>
    </tableColumn>
    <tableColumn id="12" xr3:uid="{9E036607-3F90-477D-B894-67C099ED93A8}" name="Cost (USD)" dataDxfId="113">
      <calculatedColumnFormula>IF(ad_hoc_cost[[#This Row],[Price (VAT Excl)]]="","",
  IF(ad_hoc_cost[[#This Row],[Cost Currency]]="USD",
           ad_hoc_cost[[#This Row],[Total Cost]],
           ad_hoc_cost[[#This Row],[Total Cost]]/ad_hoc_cost[[#This Row],[Exchange Rate]]
)
 )</calculatedColumnFormula>
    </tableColumn>
    <tableColumn id="13" xr3:uid="{B4080DF3-4CA1-4720-8067-504A6A66F707}" name="Price (ZAR)" dataDxfId="112">
      <calculatedColumnFormula>IF(ad_hoc_cost[[#This Row],[Price (VAT Excl)]]="","",
  IF(ad_hoc_cost[[#This Row],[Cost Currency]]="ZAR",
           ad_hoc_cost[[#This Row],[Price (VAT Excl)]],
           ad_hoc_cost[[#This Row],[Price (VAT Excl)]]*ad_hoc_cost[[#This Row],[Exchange Rate]]
)
 )</calculatedColumnFormula>
    </tableColumn>
    <tableColumn id="14" xr3:uid="{29C2A2D5-BF8C-4FC7-B6DC-966101808BCE}" name="Cost (ZAR)" dataDxfId="111">
      <calculatedColumnFormula>IF(ad_hoc_cost[[#This Row],[Price (VAT Excl)]]="","",
  IF(ad_hoc_cost[[#This Row],[Cost Currency]]="ZAR",
           ad_hoc_cost[[#This Row],[Total Cost]],
           ad_hoc_cost[[#This Row],[Total Cost]]*ad_hoc_cost[[#This Row],[Exchange Rate]]
)
 )</calculatedColumnFormula>
    </tableColumn>
    <tableColumn id="15" xr3:uid="{F16CF64B-B887-4904-B97D-97F807094EB3}" name="Price (DS)" dataDxfId="110">
      <calculatedColumnFormula>IF(ad_hoc_cost[[#This Row],[Quote Currency]]="","",
  IF(ad_hoc_cost[[#This Row],[Quote Currency]]="USD",
  ad_hoc_cost[[#This Row],[Price (USD)]],
  ad_hoc_cost[[#This Row],[Price (ZAR)]]
))</calculatedColumnFormula>
    </tableColumn>
    <tableColumn id="16" xr3:uid="{6D68583D-BF2C-4E72-9F00-5D419D855AC1}" name="Cost (DS)" dataDxfId="109">
      <calculatedColumnFormula>IF(ad_hoc_cost[[#This Row],[Quote Currency]]="","",
  IF(ad_hoc_cost[[#This Row],[Quote Currency]]="USD",
  ad_hoc_cost[[#This Row],[Cost (USD)]],
  ad_hoc_cost[[#This Row],[Cost (ZAR)]]
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07EADE-227B-4234-9354-7D9CD3589182}" name="sales_tbl___One" displayName="sales_tbl___One" ref="I7:S11" tableType="queryTable" totalsRowCount="1" headerRowDxfId="280" dataDxfId="279" totalsRowDxfId="278" totalsRowBorderDxfId="277">
  <autoFilter ref="I7:S10" xr:uid="{8C07EADE-227B-4234-9354-7D9CD3589182}"/>
  <tableColumns count="11">
    <tableColumn id="1" xr3:uid="{7FB2946D-4A73-479C-B5B5-D8254565423E}" uniqueName="1" name="Type" queryTableFieldId="1" dataDxfId="36" totalsRowDxfId="37"/>
    <tableColumn id="2" xr3:uid="{526591E0-26E8-4097-8259-74E8B5ECD37B}" uniqueName="2" name="Product" queryTableFieldId="2" dataDxfId="35" totalsRowDxfId="38"/>
    <tableColumn id="7" xr3:uid="{DB21BE41-83CD-4EFB-89AA-DB603C3BA0DC}" uniqueName="7" name="UoM" queryTableFieldId="7" dataDxfId="34" totalsRowDxfId="39"/>
    <tableColumn id="4" xr3:uid="{75D3E267-4419-44A9-B565-727BFD58B038}" uniqueName="4" name="Quantity" totalsRowFunction="average" queryTableFieldId="4" dataDxfId="33" totalsRowDxfId="40"/>
    <tableColumn id="10" xr3:uid="{145C0961-BB53-49A4-946E-002A2461AE44}" uniqueName="10" name="Purchase Price" totalsRowFunction="sum" queryTableFieldId="11" dataDxfId="32" totalsRowDxfId="41"/>
    <tableColumn id="12" xr3:uid="{0FC8C659-C28E-4BD2-B448-B63B6DC6B139}" uniqueName="12" name="Sales Price" totalsRowFunction="sum" queryTableFieldId="13" dataDxfId="31" totalsRowDxfId="42">
      <calculatedColumnFormula>IF($E$8="","",IF(sales_tbl___One[[#This Row],[Type]]="Product",$E$8-SUM($E$13:$E$19),sales_tbl___One[[#This Row],[Purchase Price]]))</calculatedColumnFormula>
    </tableColumn>
    <tableColumn id="17" xr3:uid="{1ECF6619-615A-4FC4-9A28-62542431341F}" uniqueName="17" name="GP Price" totalsRowFunction="sum" queryTableFieldId="18" dataDxfId="30" totalsRowDxfId="43">
      <calculatedColumnFormula>sales_tbl___One[[#This Row],[Sales Price]]-sales_tbl___One[[#This Row],[Purchase Price]]</calculatedColumnFormula>
    </tableColumn>
    <tableColumn id="18" xr3:uid="{A4BFCE83-C70B-4299-9C43-4F1EF170D37B}" uniqueName="18" name="GP %" queryTableFieldId="19" dataDxfId="29" totalsRowDxfId="44" dataCellStyle="Percent">
      <calculatedColumnFormula>sales_tbl___One[[#This Row],[GP Price]]/sales_tbl___One[[#This Row],[Sales Price]]</calculatedColumnFormula>
    </tableColumn>
    <tableColumn id="11" xr3:uid="{F6C77619-184D-492E-8A80-6ADF1F69C9C6}" uniqueName="11" name="Purchase Cost" totalsRowFunction="sum" queryTableFieldId="12" dataDxfId="28" totalsRowDxfId="45"/>
    <tableColumn id="13" xr3:uid="{CFB649B0-9A09-4DC3-BF86-7AFC94C2DCAC}" uniqueName="13" name="Sales Total" totalsRowFunction="sum" queryTableFieldId="14" dataDxfId="27" totalsRowDxfId="46">
      <calculatedColumnFormula>sales_tbl___One[[#This Row],[Sales Price]]*sales_tbl___One[[#This Row],[Quantity]]</calculatedColumnFormula>
    </tableColumn>
    <tableColumn id="14" xr3:uid="{8D745FB0-3AF0-496A-ADBA-1EC2AC0B73DF}" uniqueName="14" name="GP Total" totalsRowFunction="sum" queryTableFieldId="15" dataDxfId="26" totalsRowDxfId="47">
      <calculatedColumnFormula>sales_tbl___One[[#This Row],[Sales Total]]-sales_tbl___One[[#This Row],[Purchase Cost]]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DE5315-C1EA-471E-8138-D72F9C6FBEAB}" name="cf_purch" displayName="cf_purch" ref="H16:AH27" totalsRowShown="0" headerRowDxfId="276" dataDxfId="274" headerRowBorderDxfId="275" tableBorderDxfId="273" totalsRowBorderDxfId="272">
  <autoFilter ref="H16:AH27" xr:uid="{14DE5315-C1EA-471E-8138-D72F9C6FBEAB}"/>
  <tableColumns count="27">
    <tableColumn id="1" xr3:uid="{8CD39585-D330-46EE-9532-990B94DE96BF}" name="Stock Code" dataDxfId="271"/>
    <tableColumn id="2" xr3:uid="{C108B15C-A91C-4784-812A-E91510C7D36B}" name="UoM" dataDxfId="270"/>
    <tableColumn id="3" xr3:uid="{0C19E509-0DA7-4CB0-8374-8CA573C1845F}" name="Quantity" dataDxfId="269"/>
    <tableColumn id="4" xr3:uid="{1EE79811-3548-48B2-A7C0-A6CFD8EBD1AE}" name="Purch Cost" dataDxfId="268"/>
    <tableColumn id="5" xr3:uid="{9EB507BD-E60C-4F4B-B9D1-BFB051C7F4D2}" name="Deposit %" dataDxfId="267"/>
    <tableColumn id="6" xr3:uid="{695D8F1A-35BF-46D0-ADBF-E0FEE364D333}" name="Deposit Date" dataDxfId="266"/>
    <tableColumn id="7" xr3:uid="{30817025-43D7-4E80-869A-2701BD47FDE8}" name="Balance%" dataDxfId="265">
      <calculatedColumnFormula>IF(cf_purch[[#This Row],[Deposit %]]&lt;&gt;"",1-cf_purch[[#This Row],[Deposit %]],"")</calculatedColumnFormula>
    </tableColumn>
    <tableColumn id="8" xr3:uid="{4CAC8AF6-0106-4EA3-BCD9-1025E50BFC41}" name="Balance Date" dataDxfId="264"/>
    <tableColumn id="9" xr3:uid="{F11EF54F-0B09-44A9-89CA-67B017773D2A}" name="Total Cost" dataDxfId="263">
      <calculatedColumnFormula>IF(cf_purch[[#This Row],[Purch Cost]]&lt;&gt;"",cf_purch[[#This Row],[Quantity]]*cf_purch[[#This Row],[Purch Cost]],"")</calculatedColumnFormula>
    </tableColumn>
    <tableColumn id="10" xr3:uid="{F3A02A92-193A-4B08-80B0-8A74287DDD0F}" name="Deposit Cost" dataDxfId="262">
      <calculatedColumnFormula>IF(cf_purch[[#This Row],[Purch Cost]]&lt;&gt;"",cf_purch[[#This Row],[Quantity]]*cf_purch[[#This Row],[Purch Cost]]*cf_purch[[#This Row],[Deposit %]],"")</calculatedColumnFormula>
    </tableColumn>
    <tableColumn id="11" xr3:uid="{FE865929-FBC5-4EB8-8BAD-1FD6E0F0919E}" name="Balance Cost" dataDxfId="261">
      <calculatedColumnFormula>IF(cf_purch[[#This Row],[Purch Cost]]&lt;&gt;"",cf_purch[[#This Row],[Quantity]]*cf_purch[[#This Row],[Purch Cost]]*cf_purch[[#This Row],[Balance%]],"")</calculatedColumnFormula>
    </tableColumn>
    <tableColumn id="12" xr3:uid="{FAD88EFE-7CB6-447A-A665-64DA36FF86DC}" name="IsoW Dep" dataDxfId="260">
      <calculatedColumnFormula>IF(cf_purch[[#This Row],[Deposit Date]]&lt;&gt;"",_xlfn.ISOWEEKNUM(cf_purch[[#This Row],[Deposit Date]]),"")</calculatedColumnFormula>
    </tableColumn>
    <tableColumn id="13" xr3:uid="{FCACBC69-E843-4648-B042-E6AF1A2916C3}" name="IsoW Bal" dataDxfId="259">
      <calculatedColumnFormula>IF(cf_purch[[#This Row],[Balance Date]]&lt;&gt;"",_xlfn.ISOWEEKNUM(cf_purch[[#This Row],[Balance Date]]),"")</calculatedColumnFormula>
    </tableColumn>
    <tableColumn id="14" xr3:uid="{69AF6316-2A52-4080-AF81-1DC01C359BC9}" name="Year Dep" dataDxfId="258">
      <calculatedColumnFormula>IF(cf_purch[[#This Row],[Deposit Date]]&lt;&gt;"",YEAR(cf_purch[[#This Row],[Deposit Date]]),"")</calculatedColumnFormula>
    </tableColumn>
    <tableColumn id="15" xr3:uid="{49884AD4-5510-426C-AC55-6F54DB230DB2}" name="Year Bal" dataDxfId="257">
      <calculatedColumnFormula>IF(cf_purch[[#This Row],[Balance Date]]&lt;&gt;"",YEAR(cf_purch[[#This Row],[Balance Date]]),"")</calculatedColumnFormula>
    </tableColumn>
    <tableColumn id="16" xr3:uid="{479189D6-3F67-4E82-8407-F791049ED5FC}" name="VAT" dataDxfId="256">
      <calculatedColumnFormula>IF(cf_purch[[#This Row],[Purch Cost]]&lt;&gt;"",IF(_xlfn.XLOOKUP(cf_purch[[#This Row],[Stock Code]],stock_cost[Stock Code],stock_cost[Cost Currency],"",0,1)="ZAR",cf_purch[[#This Row],[Total Cost]]*0.15,0),"")</calculatedColumnFormula>
    </tableColumn>
    <tableColumn id="17" xr3:uid="{AE8878D7-6ABB-4229-A061-5D11F4E67154}" name="VAT Total" dataDxfId="255">
      <calculatedColumnFormula>IF(cf_purch[[#This Row],[VAT]]="","",cf_purch[[#This Row],[VAT]]+cf_purch[[#This Row],[Total Cost]])</calculatedColumnFormula>
    </tableColumn>
    <tableColumn id="18" xr3:uid="{209F0516-0703-4D35-9879-3EA28A0D7B6D}" name="Bal VAT" dataDxfId="254">
      <calculatedColumnFormula>IF(cf_purch[[#This Row],[VAT Total]]="","",cf_purch[[#This Row],[VAT Total]]*cf_purch[[#This Row],[Balance%]])</calculatedColumnFormula>
    </tableColumn>
    <tableColumn id="19" xr3:uid="{E7202690-69A4-4D9E-A586-110AB58EBC9F}" name="Dep Vat" dataDxfId="253">
      <calculatedColumnFormula>IF(cf_purch[[#This Row],[VAT Total]]="","",cf_purch[[#This Row],[VAT Total]]*cf_purch[[#This Row],[Deposit %]])</calculatedColumnFormula>
    </tableColumn>
    <tableColumn id="20" xr3:uid="{9C243915-6560-482F-939E-F47223820826}" name="VAT Bal " dataDxfId="252">
      <calculatedColumnFormula>IF(cf_purch[[#This Row],[VAT]]="","",cf_purch[[#This Row],[VAT]]*cf_purch[[#This Row],[Balance%]])</calculatedColumnFormula>
    </tableColumn>
    <tableColumn id="21" xr3:uid="{4ED6E627-3455-4483-9409-7AAE223C2CD2}" name="VAT Dep" dataDxfId="251">
      <calculatedColumnFormula>IF(cf_purch[[#This Row],[VAT]]="","",cf_purch[[#This Row],[VAT]]*cf_purch[[#This Row],[Deposit %]])</calculatedColumnFormula>
    </tableColumn>
    <tableColumn id="22" xr3:uid="{659BE828-96BC-43A6-8B5E-F1ED592A6A1E}" name="Bal VAT Date" dataDxfId="250">
      <calculatedColumnFormula>IF(cf_purch[[#This Row],[Balance Date]]="","",cf_purch[[#This Row],[Balance Date]]+120)</calculatedColumnFormula>
    </tableColumn>
    <tableColumn id="23" xr3:uid="{2F216DDE-F5F2-4550-9ADB-5A0B30E886BB}" name="Dep VAT Date" dataDxfId="249">
      <calculatedColumnFormula>IF(cf_purch[[#This Row],[Deposit Date]]="","",cf_purch[[#This Row],[Deposit Date]]+120)</calculatedColumnFormula>
    </tableColumn>
    <tableColumn id="24" xr3:uid="{FAE8D2D5-E879-4790-BA18-28BF53A83526}" name="ISOw DEP Vat" dataDxfId="248">
      <calculatedColumnFormula>IF(cf_purch[[#This Row],[Dep VAT Date]]="","",_xlfn.ISOWEEKNUM(cf_purch[[#This Row],[Dep VAT Date]]))</calculatedColumnFormula>
    </tableColumn>
    <tableColumn id="25" xr3:uid="{8D97F5A2-6536-4395-9EA3-CF45325692BB}" name="Year Dep Vat" dataDxfId="247">
      <calculatedColumnFormula>IF(cf_purch[[#This Row],[Dep VAT Date]]="","",YEAR(cf_purch[[#This Row],[Dep VAT Date]]))</calculatedColumnFormula>
    </tableColumn>
    <tableColumn id="26" xr3:uid="{4B7AD226-442E-4220-A5CB-7ACC8B964C9D}" name="ISOw Bal Vat" dataDxfId="246">
      <calculatedColumnFormula>IF(cf_purch[[#This Row],[Bal VAT Date]]="","",_xlfn.ISOWEEKNUM(cf_purch[[#This Row],[Bal VAT Date]]))</calculatedColumnFormula>
    </tableColumn>
    <tableColumn id="27" xr3:uid="{B2E5ACE7-0A46-43E0-B798-80257FC819EC}" name="Year Bal Vat" dataDxfId="245">
      <calculatedColumnFormula>IF(cf_purch[[#This Row],[Bal VAT Date]]="","",YEAR(cf_purch[[#This Row],[Bal VAT Date]]))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DE3271-27A3-4A31-AB8E-5B89C3854ABE}" name="cf_sales" displayName="cf_sales" ref="H5:BH14" totalsRowShown="0" headerRowDxfId="244" dataDxfId="242" headerRowBorderDxfId="243" tableBorderDxfId="241" totalsRowBorderDxfId="240">
  <autoFilter ref="H5:BH14" xr:uid="{43DE3271-27A3-4A31-AB8E-5B89C3854ABE}"/>
  <tableColumns count="53">
    <tableColumn id="1" xr3:uid="{1BBC31A0-D407-4668-B87E-2DD043FCCF51}" name="Deal No." dataDxfId="239"/>
    <tableColumn id="2" xr3:uid="{5E87DC3B-ED5C-452D-B308-FDC38A10A0D2}" name="UoM" dataDxfId="238"/>
    <tableColumn id="3" xr3:uid="{6E72B4C3-6C94-44E4-B97A-AEC06ADB0C61}" name="Quantity" dataDxfId="237"/>
    <tableColumn id="4" xr3:uid="{7C4DA0C0-12C9-4C85-AF96-912203ECF969}" name="Sales Price" dataDxfId="236"/>
    <tableColumn id="5" xr3:uid="{A50C5490-48F6-479C-A076-AB1B0516EB28}" name="Deposit%" dataDxfId="235"/>
    <tableColumn id="6" xr3:uid="{7E5E3083-E486-4869-9C43-76664F3B319E}" name="Deposit Date" dataDxfId="234"/>
    <tableColumn id="7" xr3:uid="{8AF71185-A439-4ED5-B1C2-3F31CD92F61B}" name="Uplift Start" dataDxfId="233"/>
    <tableColumn id="8" xr3:uid="{B8EADDFA-49F0-480D-A6C7-C64706E87BBB}" name="Uplift (Days)" dataDxfId="232"/>
    <tableColumn id="9" xr3:uid="{6F86523C-1DB7-4D5F-84DB-928C6B41F8A3}" name="Travel (Days)" dataDxfId="231"/>
    <tableColumn id="10" xr3:uid="{B12F5253-88AC-4A5E-8003-EF4B7971F699}" name="Terms (Days)" dataDxfId="230"/>
    <tableColumn id="11" xr3:uid="{AF65B091-971E-43CF-A6E8-70FD33DD095C}" name="Balance%" dataDxfId="229">
      <calculatedColumnFormula>IF(cf_sales[[#This Row],[Deposit%]]&lt;&gt;"",1-cf_sales[[#This Row],[Deposit%]],"")</calculatedColumnFormula>
    </tableColumn>
    <tableColumn id="12" xr3:uid="{62C90702-0B6E-4B5F-8C0F-A2693126BCCB}" name="Total Amount" dataDxfId="228">
      <calculatedColumnFormula>IF(cf_sales[[#This Row],[Sales Price]]&lt;&gt;"",cf_sales[[#This Row],[Quantity]]*cf_sales[[#This Row],[Sales Price]],"")</calculatedColumnFormula>
    </tableColumn>
    <tableColumn id="13" xr3:uid="{5C048B59-A6CF-4747-9071-6D6C6C358CA8}" name="Balance Amount" dataDxfId="227">
      <calculatedColumnFormula>IF(cf_sales[[#This Row],[Sales Price]]&lt;&gt;"",cf_sales[[#This Row],[Quantity]]*cf_sales[[#This Row],[Sales Price]]*cf_sales[[#This Row],[Balance%]],"")</calculatedColumnFormula>
    </tableColumn>
    <tableColumn id="14" xr3:uid="{8D0CA983-098F-4FA3-A264-32207138A26E}" name="Deposit Amount" dataDxfId="226">
      <calculatedColumnFormula>IF(cf_sales[[#This Row],[Deposit%]]&lt;&gt;0,cf_sales[[#This Row],[Total Amount]]*cf_sales[[#This Row],[Deposit%]],"")</calculatedColumnFormula>
    </tableColumn>
    <tableColumn id="15" xr3:uid="{1FBD8118-9888-43A3-A522-F44026B56DCE}" name="Transport Terms" dataDxfId="225">
      <calculatedColumnFormula>IF(cf_sales[[#This Row],[Travel (Days)]]="","",30)</calculatedColumnFormula>
    </tableColumn>
    <tableColumn id="16" xr3:uid="{82D19634-00C7-4D11-91DF-2AEC155926C2}" name="Transport Amount" dataDxfId="224">
      <calculatedColumnFormula>IF(cf_sales[[#This Row],[Transport Terms]]="","",(_xlfn.XLOOKUP(cf_sales[[#This Row],[Deal No.]],transport_cost[Deal No.],transport_cost[Price],"",0,1))*cf_sales[[#This Row],[Quantity]])</calculatedColumnFormula>
    </tableColumn>
    <tableColumn id="17" xr3:uid="{84DA0D63-40A0-47F7-9B0F-A5E4996B0C6D}" name="Adhoc Amount" dataDxfId="223">
      <calculatedColumnFormula>IFERROR(IF('Ad Hoc Cost'!$T$4=0,"",'Ad Hoc Cost'!$D$17*cf_sales[[#This Row],[Quantity]]),"")</calculatedColumnFormula>
    </tableColumn>
    <tableColumn id="18" xr3:uid="{F5A02AFF-B1FC-4E27-84C9-4C2587C569EC}" name="Weeks to Uplift" dataDxfId="222">
      <calculatedColumnFormula>IF(cf_sales[[#This Row],[Uplift (Days)]]&lt;&gt;"",ROUNDUP(cf_sales[[#This Row],[Uplift (Days)]]/7,0),"")</calculatedColumnFormula>
    </tableColumn>
    <tableColumn id="19" xr3:uid="{FEBA7F9C-E24B-49A6-AD47-5F1BC811058A}" name="Weeks to Deliver" dataDxfId="221">
      <calculatedColumnFormula>IF(cf_sales[[#This Row],[Uplift (Days)]]&lt;&gt;"",ROUNDUP(cf_sales[[#This Row],[Uplift (Days)]]/7,0),"")</calculatedColumnFormula>
    </tableColumn>
    <tableColumn id="20" xr3:uid="{66CA7FDA-409C-4B34-9CC7-721942531036}" name="Weeks To Pay" dataDxfId="220">
      <calculatedColumnFormula>IF(cf_sales[[#This Row],[Uplift (Days)]]&lt;&gt;"",ROUNDUP(cf_sales[[#This Row],[Uplift (Days)]]/7,0),"")</calculatedColumnFormula>
    </tableColumn>
    <tableColumn id="21" xr3:uid="{0985E700-0F21-449B-9A18-AB7B9B139DC5}" name="Weekly Quant" dataDxfId="219">
      <calculatedColumnFormula>IF(cf_sales[[#This Row],[Quantity]]&lt;&gt;"",cf_sales[[#This Row],[Quantity]]/cf_sales[[#This Row],[Weeks to Uplift]],"")</calculatedColumnFormula>
    </tableColumn>
    <tableColumn id="22" xr3:uid="{3754E49F-365B-44AB-98AF-622F7198681C}" name="Weekly Sales" dataDxfId="218">
      <calculatedColumnFormula>IF(cf_sales[[#This Row],[Sales Price]]&lt;&gt;"",cf_sales[[#This Row],[Balance Amount]]/cf_sales[[#This Row],[Weeks to Uplift]],"")</calculatedColumnFormula>
    </tableColumn>
    <tableColumn id="23" xr3:uid="{F717072A-7DB9-4C1C-A633-EB175F34AD18}" name="Weekly Trsp" dataDxfId="217">
      <calculatedColumnFormula>IF(cf_sales[[#This Row],[Transport Amount]]&lt;&gt;"",cf_sales[[#This Row],[Transport Amount]]/cf_sales[[#This Row],[Weeks to Uplift]],"")</calculatedColumnFormula>
    </tableColumn>
    <tableColumn id="24" xr3:uid="{96177EAE-5B8E-4515-A6D7-AD90DF8645F5}" name="Weekly Adhoc" dataDxfId="216">
      <calculatedColumnFormula>IF(cf_sales[[#This Row],[Adhoc Amount]]&lt;&gt;"",cf_sales[[#This Row],[Adhoc Amount]]/cf_sales[[#This Row],[Weeks to Uplift]],"")</calculatedColumnFormula>
    </tableColumn>
    <tableColumn id="25" xr3:uid="{3D356D97-2641-45AB-8B12-D610D82F87F0}" name="1st Uplift" dataDxfId="215">
      <calculatedColumnFormula>IFERROR(DATE(cf_sales[[#This Row],[Year Upl 1st]], 1, -2) - WEEKDAY(DATE(cf_sales[[#This Row],[Year Upl 1st]], 1, 3)) + cf_sales[[#This Row],[IsoW Upl 1st]] * 7,"")</calculatedColumnFormula>
    </tableColumn>
    <tableColumn id="26" xr3:uid="{F0A06F72-FD3F-4AAA-9010-3D60B87EE202}" name="Final Uplift" dataDxfId="214">
      <calculatedColumnFormula>IFERROR(cf_sales[[#This Row],[1st Uplift]]+(cf_sales[[#This Row],[Weeks to Uplift]]*7-1),"")</calculatedColumnFormula>
    </tableColumn>
    <tableColumn id="27" xr3:uid="{CB414E40-1384-4CD6-9655-F535DBDD895F}" name="Delivery Date" dataDxfId="213">
      <calculatedColumnFormula>IF(cf_sales[[#This Row],[Uplift Start]]&lt;&gt;"",cf_sales[[#This Row],[Uplift Start]]+cf_sales[[#This Row],[Travel (Days)]],"")</calculatedColumnFormula>
    </tableColumn>
    <tableColumn id="28" xr3:uid="{2318F436-831A-4C2C-A4E0-217A69DA2B2F}" name="1st Delivery" dataDxfId="212">
      <calculatedColumnFormula>IFERROR(DATE(cf_sales[[#This Row],[Year Del 1st]], 1, -2) - WEEKDAY(DATE(cf_sales[[#This Row],[Year Del 1st]], 1, 3)) + cf_sales[[#This Row],[IsoW Del 1st]] * 7,"")</calculatedColumnFormula>
    </tableColumn>
    <tableColumn id="29" xr3:uid="{39115D88-DC4E-401D-87C5-65ED8CB37C14}" name="Final Delivery" dataDxfId="211">
      <calculatedColumnFormula>IFERROR(cf_sales[[#This Row],[1st Delivery]]+(cf_sales[[#This Row],[Weeks to Uplift]]*7-1),"")</calculatedColumnFormula>
    </tableColumn>
    <tableColumn id="30" xr3:uid="{2DD4A185-027B-48F0-9ECA-767025DE0714}" name="Payment Date" dataDxfId="210">
      <calculatedColumnFormula>IF(cf_sales[[#This Row],[Weeks to Uplift]]&lt;&gt;"",cf_sales[[#This Row],[Delivery Date]]+cf_sales[[#This Row],[Terms (Days)]],"")</calculatedColumnFormula>
    </tableColumn>
    <tableColumn id="31" xr3:uid="{05A3DC40-39B9-40A7-B8EC-CAE127F71070}" name="1st Payment" dataDxfId="209">
      <calculatedColumnFormula>IFERROR(DATE(cf_sales[[#This Row],[Year Bal 1st]], 1, -2) - WEEKDAY(DATE(cf_sales[[#This Row],[Year Bal 1st]], 1, 3)) + cf_sales[[#This Row],[IsoW Bal 1st]] * 7,"")</calculatedColumnFormula>
    </tableColumn>
    <tableColumn id="32" xr3:uid="{8071C13A-5E08-46F1-ABDB-651DE35217F9}" name="Final Payment" dataDxfId="208">
      <calculatedColumnFormula>IFERROR(cf_sales[[#This Row],[1st Payment]]+(cf_sales[[#This Row],[Weeks to Uplift]]*7-1),"")</calculatedColumnFormula>
    </tableColumn>
    <tableColumn id="33" xr3:uid="{82A04895-B526-4B4C-A2FA-93871FF84F57}" name="Transport Date" dataDxfId="207">
      <calculatedColumnFormula>IF(cf_sales[[#This Row],[Weeks to Uplift]]&lt;&gt;"",cf_sales[[#This Row],[Delivery Date]]+cf_sales[[#This Row],[Transport Terms]],"")</calculatedColumnFormula>
    </tableColumn>
    <tableColumn id="34" xr3:uid="{3E1AB3B7-1908-48F8-B016-F5619264A058}" name="1st Transport" dataDxfId="206">
      <calculatedColumnFormula>IFERROR(DATE(cf_sales[[#This Row],[Year Trsp 1st]], 1, -2) - WEEKDAY(DATE(cf_sales[[#This Row],[Year Trsp 1st]], 1, 3)) + cf_sales[[#This Row],[IsoW Trsp 1st]] * 7,"")</calculatedColumnFormula>
    </tableColumn>
    <tableColumn id="35" xr3:uid="{EA7F3F85-B93F-496B-864D-C653E4E88DDF}" name="Last Transport" dataDxfId="205">
      <calculatedColumnFormula>IFERROR(cf_sales[[#This Row],[1st Transport]]+(cf_sales[[#This Row],[Weeks to Uplift]]*7-1),"")</calculatedColumnFormula>
    </tableColumn>
    <tableColumn id="36" xr3:uid="{95DBEDD3-C6E1-4ADB-9009-0E47EBC3458D}" name="IsoW Dep" dataDxfId="204">
      <calculatedColumnFormula>IF(cf_sales[[#This Row],[Deposit Date]]&lt;&gt;"",_xlfn.ISOWEEKNUM(cf_sales[[#This Row],[Deposit Date]]),"")</calculatedColumnFormula>
    </tableColumn>
    <tableColumn id="37" xr3:uid="{E6E08A1F-55BC-4C85-9601-332E7305DBBB}" name="IsoW Upl 1st" dataDxfId="203">
      <calculatedColumnFormula>IF(cf_sales[[#This Row],[Uplift Start]]&lt;&gt;"",_xlfn.ISOWEEKNUM(cf_sales[[#This Row],[Uplift Start]]),"")</calculatedColumnFormula>
    </tableColumn>
    <tableColumn id="38" xr3:uid="{A19BC26D-6282-4AB3-8E5F-67A774F0F1AC}" name="IsoW Upl Last" dataDxfId="202">
      <calculatedColumnFormula>IF(cf_sales[[#This Row],[Weeks to Uplift]]&lt;&gt;"",cf_sales[[#This Row],[IsoW Upl 1st]]+cf_sales[[#This Row],[Weeks to Uplift]]-1,"")</calculatedColumnFormula>
    </tableColumn>
    <tableColumn id="39" xr3:uid="{A641BC9A-CD5C-4CC4-8FAD-E5618301ECD2}" name="IsoW Del 1st" dataDxfId="201">
      <calculatedColumnFormula>IF(cf_sales[[#This Row],[Delivery Date]]&lt;&gt;"",_xlfn.ISOWEEKNUM(cf_sales[[#This Row],[Delivery Date]]),"")</calculatedColumnFormula>
    </tableColumn>
    <tableColumn id="40" xr3:uid="{9974D847-A7DA-4C38-9085-415D69FFA640}" name="IsoW Del Last" dataDxfId="200">
      <calculatedColumnFormula>IF(cf_sales[[#This Row],[Final Delivery]]&lt;&gt;"",_xlfn.ISOWEEKNUM(cf_sales[[#This Row],[Final Delivery]]),"")</calculatedColumnFormula>
    </tableColumn>
    <tableColumn id="41" xr3:uid="{8FEBB48D-A5B5-46A9-920B-7A3BD42B611B}" name="IsoW Bal 1st" dataDxfId="199">
      <calculatedColumnFormula>IF(cf_sales[[#This Row],[Payment Date]]&lt;&gt;"",_xlfn.ISOWEEKNUM(cf_sales[[#This Row],[Payment Date]]),"")</calculatedColumnFormula>
    </tableColumn>
    <tableColumn id="42" xr3:uid="{A47B80F2-D589-43D6-BB11-D374B0A9A94E}" name="IsoW Bal Last" dataDxfId="198">
      <calculatedColumnFormula>IF(cf_sales[[#This Row],[Final Payment]]&lt;&gt;"",_xlfn.ISOWEEKNUM(cf_sales[[#This Row],[Final Payment]]),"")</calculatedColumnFormula>
    </tableColumn>
    <tableColumn id="43" xr3:uid="{4E73139A-077C-4B47-AEA2-400386251EB3}" name="IsoW Trsp 1st" dataDxfId="197">
      <calculatedColumnFormula>IF(cf_sales[[#This Row],[Transport Date]]&lt;&gt;"",_xlfn.ISOWEEKNUM(cf_sales[[#This Row],[Transport Date]]),"")</calculatedColumnFormula>
    </tableColumn>
    <tableColumn id="44" xr3:uid="{A0586EA3-1957-4996-B88F-1CF0320B2723}" name="IsoW Trsp Last" dataDxfId="196">
      <calculatedColumnFormula>IF(cf_sales[[#This Row],[Last Transport]]&lt;&gt;"",_xlfn.ISOWEEKNUM(cf_sales[[#This Row],[Last Transport]]),"")</calculatedColumnFormula>
    </tableColumn>
    <tableColumn id="45" xr3:uid="{330ABDDC-428A-4804-9987-0CA1D4462E64}" name="Year Dep" dataDxfId="195">
      <calculatedColumnFormula>IF(cf_sales[[#This Row],[Deposit Date]]&lt;&gt;"",YEAR(cf_sales[[#This Row],[Deposit Date]]),"")</calculatedColumnFormula>
    </tableColumn>
    <tableColumn id="46" xr3:uid="{83EED5CA-EAF6-4BED-B3F7-CAD6EB6CD464}" name="Year Upl 1st" dataDxfId="194">
      <calculatedColumnFormula>IF(cf_sales[[#This Row],[Uplift Start]]&lt;&gt;"",YEAR(cf_sales[[#This Row],[Uplift Start]]),"")</calculatedColumnFormula>
    </tableColumn>
    <tableColumn id="47" xr3:uid="{79DD0715-4F39-4DD4-87A7-3989D958F12F}" name="Year Upl Last" dataDxfId="193">
      <calculatedColumnFormula>IF(cf_sales[[#This Row],[Final Uplift]]&lt;&gt;"",YEAR(cf_sales[[#This Row],[Final Uplift]]),"")</calculatedColumnFormula>
    </tableColumn>
    <tableColumn id="48" xr3:uid="{3E274D2E-9959-4451-BB5C-C88D3206F72C}" name="Year Del 1st" dataDxfId="192">
      <calculatedColumnFormula>IF(cf_sales[[#This Row],[Delivery Date]]&lt;&gt;"",YEAR(cf_sales[[#This Row],[Delivery Date]]),"")</calculatedColumnFormula>
    </tableColumn>
    <tableColumn id="49" xr3:uid="{1B141F19-E22B-480E-AAD4-3805D680B4C7}" name="Year Del Last" dataDxfId="191">
      <calculatedColumnFormula>IF(cf_sales[[#This Row],[Final Delivery]]&lt;&gt;"",YEAR(cf_sales[[#This Row],[Final Delivery]]),"")</calculatedColumnFormula>
    </tableColumn>
    <tableColumn id="50" xr3:uid="{B5FCA59C-4656-4488-850F-9A829FB1E8E1}" name="Year Bal 1st" dataDxfId="190">
      <calculatedColumnFormula>IF(cf_sales[[#This Row],[Payment Date]]&lt;&gt;"",YEAR(cf_sales[[#This Row],[Payment Date]]),"")</calculatedColumnFormula>
    </tableColumn>
    <tableColumn id="51" xr3:uid="{48F18B6F-BE94-4BBE-B01C-0CEAE2650CEB}" name="Year Bal Last" dataDxfId="189">
      <calculatedColumnFormula>IF(cf_sales[[#This Row],[Final Payment]]&lt;&gt;"",YEAR(cf_sales[[#This Row],[Final Payment]]),"")</calculatedColumnFormula>
    </tableColumn>
    <tableColumn id="52" xr3:uid="{265883B0-95F7-4EBB-92FD-C7FA7788129F}" name="Year Trsp 1st" dataDxfId="188">
      <calculatedColumnFormula>IF(cf_sales[[#This Row],[Transport Date]]&lt;&gt;"",YEAR(cf_sales[[#This Row],[Transport Date]]),"")</calculatedColumnFormula>
    </tableColumn>
    <tableColumn id="53" xr3:uid="{196C5CC6-87CF-495C-996B-D37FCF3E34AC}" name="Year Trsp Last" dataDxfId="187">
      <calculatedColumnFormula>IF(cf_sales[[#This Row],[Last Transport]]&lt;&gt;"",YEAR(cf_sales[[#This Row],[Last Transport]]),"")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CA7943A-CBFB-4F59-98D5-4C5D3578220A}" name="Quote_sgl__Prod" displayName="Quote_sgl__Prod" ref="A1:G2" tableType="queryTable" totalsRowShown="0">
  <autoFilter ref="A1:G2" xr:uid="{0CA7943A-CBFB-4F59-98D5-4C5D3578220A}"/>
  <tableColumns count="7">
    <tableColumn id="1" xr3:uid="{98EB7D1E-23E4-48AC-AB11-17CED897C73D}" uniqueName="1" name="Sort" queryTableFieldId="1"/>
    <tableColumn id="2" xr3:uid="{9DD7A208-AFD7-4129-A2B5-8DD06E7ECDBE}" uniqueName="2" name="Type" queryTableFieldId="2"/>
    <tableColumn id="3" xr3:uid="{5BE10AFA-5A9D-448D-849E-C3C027C2039C}" uniqueName="3" name="Product" queryTableFieldId="3"/>
    <tableColumn id="4" xr3:uid="{F64AD363-2516-4EEF-B4BE-6735B215E487}" uniqueName="4" name="UoM" queryTableFieldId="4"/>
    <tableColumn id="5" xr3:uid="{DA84EF17-9630-4454-9BC8-28DF57AC9617}" uniqueName="5" name="Quantity" queryTableFieldId="5"/>
    <tableColumn id="6" xr3:uid="{F635E19B-E9AD-444E-A25F-B3B270F498AA}" uniqueName="6" name="Sales Price" queryTableFieldId="6"/>
    <tableColumn id="7" xr3:uid="{C3019A78-CA8B-4631-BFC7-F4D67D2544D9}" uniqueName="7" name="Sales Total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1CC9C5C-E48F-4293-AAA9-4E583F299679}" name="quote" displayName="quote" ref="C3:J4" totalsRowShown="0" headerRowDxfId="186" headerRowBorderDxfId="185">
  <autoFilter ref="C3:J4" xr:uid="{31CC9C5C-E48F-4293-AAA9-4E583F299679}"/>
  <tableColumns count="8">
    <tableColumn id="1" xr3:uid="{3F130FCA-26A4-4F93-8BFB-1AF6EE86AF7B}" name="Quote No." dataDxfId="184"/>
    <tableColumn id="3" xr3:uid="{AAC6962F-01D1-42A5-9BA8-C1EACD7FAB2F}" name="Quote Created" dataDxfId="183"/>
    <tableColumn id="4" xr3:uid="{3CCEB033-6E8B-4BF3-9D66-4341AD4CAEE2}" name="Quote Expired" dataDxfId="182"/>
    <tableColumn id="5" xr3:uid="{99F8852A-ECA0-45B5-8279-5570CAF215C9}" name="Type" dataDxfId="181"/>
    <tableColumn id="9" xr3:uid="{3804D2DF-9C8C-49FF-BCCE-9897E2BB0B30}" name="Quantity" dataDxfId="180"/>
    <tableColumn id="6" xr3:uid="{8ECB44E7-EFD6-427E-867C-9E9AEEC35D27}" name="Sales" dataDxfId="179"/>
    <tableColumn id="7" xr3:uid="{10BE290C-B760-4B73-9E3C-010A51EF4260}" name="Cost of Sales" dataDxfId="178"/>
    <tableColumn id="8" xr3:uid="{B4271AC6-02B0-4F01-A991-EEBD0B08A306}" name="Gross Profit" dataDxfId="17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E41F9B5-8A1D-4133-B2D2-33CB9541AC76}" name="deilv_location" displayName="deilv_location" ref="B2:C41" totalsRowShown="0" dataDxfId="176">
  <autoFilter ref="B2:C41" xr:uid="{7E41F9B5-8A1D-4133-B2D2-33CB9541AC76}"/>
  <sortState xmlns:xlrd2="http://schemas.microsoft.com/office/spreadsheetml/2017/richdata2" ref="B3:C41">
    <sortCondition ref="B2:B41"/>
  </sortState>
  <tableColumns count="2">
    <tableColumn id="1" xr3:uid="{10C4D68E-BF99-4E29-BBF7-B2768BD8314B}" name="Delivery Location" dataDxfId="175"/>
    <tableColumn id="2" xr3:uid="{C0062259-6D05-43A1-84A6-B0B12B36C8AD}" name="Country" dataDxfId="1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A5D639-C1F4-44DD-966C-05B5D14328FB}" name="ad_hoc_types" displayName="ad_hoc_types" ref="E2:E8" totalsRowShown="0" dataDxfId="173">
  <autoFilter ref="E2:E8" xr:uid="{89A5D639-C1F4-44DD-966C-05B5D14328FB}"/>
  <tableColumns count="1">
    <tableColumn id="1" xr3:uid="{2403BDEC-DD99-49FA-AB40-7AD86A123A27}" name="Ad Hoc Costs" dataDxfId="17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C98E7BC-A789-4A34-B1D7-6312FBF3A5EE}" name="payment_type" displayName="payment_type" ref="G2:G4" totalsRowShown="0" dataDxfId="171">
  <autoFilter ref="G2:G4" xr:uid="{FC98E7BC-A789-4A34-B1D7-6312FBF3A5EE}"/>
  <tableColumns count="1">
    <tableColumn id="1" xr3:uid="{D248DE70-97A7-4A4D-B6E2-9A3C73A39E15}" name="Payment Type" dataDxfId="17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5E75E8-2915-4096-9505-A1D973D611E1}" name="uom_type" displayName="uom_type" ref="I2:I9" totalsRowShown="0" dataDxfId="169">
  <autoFilter ref="I2:I9" xr:uid="{C15E75E8-2915-4096-9505-A1D973D611E1}"/>
  <tableColumns count="1">
    <tableColumn id="1" xr3:uid="{DC847D62-E7FE-40F0-A9A8-E305D2C0B516}" name="UoM Type" dataDxfId="16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D9F414-4579-4BB8-977D-A08D3B456F79}" name="sales_rep" displayName="sales_rep" ref="K2:L10" totalsRowShown="0" dataDxfId="167">
  <autoFilter ref="K2:L10" xr:uid="{74D9F414-4579-4BB8-977D-A08D3B456F79}"/>
  <sortState xmlns:xlrd2="http://schemas.microsoft.com/office/spreadsheetml/2017/richdata2" ref="K3:L10">
    <sortCondition ref="L2:L10"/>
  </sortState>
  <tableColumns count="2">
    <tableColumn id="1" xr3:uid="{58B9C68B-569A-4AF1-AFA1-CE3D82D66498}" name="Sales Rep" dataDxfId="166"/>
    <tableColumn id="2" xr3:uid="{73520659-BA98-4E67-8777-2F9CAF7B88A8}" name="SR Code" dataDxfId="16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207FF36-C9C2-4578-B7B2-30AA7C1FF61C}" name="INCO_terms" displayName="INCO_terms" ref="N2:N13" totalsRowShown="0" dataDxfId="164">
  <autoFilter ref="N2:N13" xr:uid="{3207FF36-C9C2-4578-B7B2-30AA7C1FF61C}"/>
  <tableColumns count="1">
    <tableColumn id="1" xr3:uid="{F4816978-4412-4D3A-B8FC-2E965AFD5607}" name="INCO Terms" dataDxfId="16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99C0BE7-C4AD-4F02-9689-C19F7CC46250}" name="currency_tbl" displayName="currency_tbl" ref="P2:P4" totalsRowShown="0" dataDxfId="162">
  <autoFilter ref="P2:P4" xr:uid="{F99C0BE7-C4AD-4F02-9689-C19F7CC46250}"/>
  <tableColumns count="1">
    <tableColumn id="1" xr3:uid="{EB875A3E-113D-4893-BD8C-D5701E8F8268}" name="Currency" dataDxfId="16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858C5E7-3FE0-4855-976E-4EC10D90D213}" name="Table24" displayName="Table24" ref="R2:T251" totalsRowShown="0">
  <autoFilter ref="R2:T251" xr:uid="{1858C5E7-3FE0-4855-976E-4EC10D90D213}"/>
  <sortState xmlns:xlrd2="http://schemas.microsoft.com/office/spreadsheetml/2017/richdata2" ref="R3:T251">
    <sortCondition ref="R2:R251"/>
  </sortState>
  <tableColumns count="3">
    <tableColumn id="1" xr3:uid="{E9AE3023-0D2D-40D5-89AA-039B14EC9A91}" name="Country"/>
    <tableColumn id="2" xr3:uid="{7408CC10-1320-4007-AB7A-ACE564658254}" name="2-Digit Code"/>
    <tableColumn id="3" xr3:uid="{2624137C-36F0-41A8-8CE6-101F652922A1}" name="3-Digit Cod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C35B68A-D6D6-4E28-81A5-2B0FC387A136}" name="Table25" displayName="Table25" ref="E11:E16" totalsRowShown="0" dataDxfId="160">
  <autoFilter ref="E11:E16" xr:uid="{BC35B68A-D6D6-4E28-81A5-2B0FC387A136}"/>
  <tableColumns count="1">
    <tableColumn id="1" xr3:uid="{82A4545B-D784-4D6A-BE33-6151679AF91E}" name="Quote Choice" dataDxfId="15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488E76B-2C07-46D8-A3D9-72E2D8A458A9}" name="email" displayName="email" ref="X2:Y3" totalsRowShown="0">
  <autoFilter ref="X2:Y3" xr:uid="{0488E76B-2C07-46D8-A3D9-72E2D8A458A9}"/>
  <tableColumns count="2">
    <tableColumn id="1" xr3:uid="{0382A616-3525-4A52-AE5C-683E709FF23C}" name="Username"/>
    <tableColumn id="2" xr3:uid="{5C7A6724-F7C9-4A83-882F-55A4D0F15FFC}" name="email" dataCellStyle="Hyperlink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196D47A-A42B-46CB-97F2-6695B709639B}" name="Table28" displayName="Table28" ref="P7:P9" totalsRowShown="0">
  <autoFilter ref="P7:P9" xr:uid="{5196D47A-A42B-46CB-97F2-6695B709639B}"/>
  <tableColumns count="1">
    <tableColumn id="1" xr3:uid="{16FCA9C7-2D8C-4EE6-AD87-636FB4EF1A34}" name="Y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79AFF2-E34D-4B20-961C-2AADD64CCE62}" name="data_val" displayName="data_val" ref="A1:O2" totalsRowShown="0" headerRowDxfId="158">
  <autoFilter ref="A1:O2" xr:uid="{AF79AFF2-E34D-4B20-961C-2AADD64CCE62}"/>
  <tableColumns count="15">
    <tableColumn id="1" xr3:uid="{C847FE17-D865-4C84-B898-DDCCFE1F8F25}" name="Deal Number">
      <calculatedColumnFormula>Overview!$D$6</calculatedColumnFormula>
    </tableColumn>
    <tableColumn id="2" xr3:uid="{21DC4588-287D-4E7C-863C-FABCEDD1403B}" name="Sales Rep">
      <calculatedColumnFormula>Overview!$D$7</calculatedColumnFormula>
    </tableColumn>
    <tableColumn id="3" xr3:uid="{DCDE82B4-87AE-4EF1-90F6-E68304AE2335}" name="Name of Client">
      <calculatedColumnFormula>Overview!$D$8</calculatedColumnFormula>
    </tableColumn>
    <tableColumn id="4" xr3:uid="{8592E2B8-F718-4662-90BE-33A8568F4FE5}" name="Product Group">
      <calculatedColumnFormula>Overview!$D$9</calculatedColumnFormula>
    </tableColumn>
    <tableColumn id="5" xr3:uid="{70E0BC11-F5CF-4868-8805-80E14E1B1973}" name="Consignee Location">
      <calculatedColumnFormula>Overview!$D$12</calculatedColumnFormula>
    </tableColumn>
    <tableColumn id="6" xr3:uid="{400A068D-BDF6-4AF6-9B1F-D8F46F3B1766}" name="Delivery Location">
      <calculatedColumnFormula>Overview!$D$13</calculatedColumnFormula>
    </tableColumn>
    <tableColumn id="7" xr3:uid="{6ADD81B0-BEEB-4EDE-B634-3FE61CB3964A}" name="Delivery Period" dataDxfId="157">
      <calculatedColumnFormula>Overview!$D$14</calculatedColumnFormula>
    </tableColumn>
    <tableColumn id="8" xr3:uid="{B6A0FF32-53E7-434D-94C1-39B07268FD4D}" name="Payment Terms">
      <calculatedColumnFormula>Overview!$D$16</calculatedColumnFormula>
    </tableColumn>
    <tableColumn id="9" xr3:uid="{A9C423CA-A570-4B26-B574-91B94850B3BD}" name="Quote Currency">
      <calculatedColumnFormula>Overview!$D$17</calculatedColumnFormula>
    </tableColumn>
    <tableColumn id="10" xr3:uid="{ADB2FC20-1487-4DE2-B665-CFD0187D537D}" name="Exchange Rate">
      <calculatedColumnFormula>Overview!$D$18</calculatedColumnFormula>
    </tableColumn>
    <tableColumn id="11" xr3:uid="{EF01A184-8D9F-4A8F-9BEF-0F4B02BD3A6C}" name="INCO Terms">
      <calculatedColumnFormula>Overview!$D$20</calculatedColumnFormula>
    </tableColumn>
    <tableColumn id="12" xr3:uid="{D895E685-5C3E-437B-A524-F14D86EC8E36}" name="Contract Type">
      <calculatedColumnFormula>Overview!$D$21</calculatedColumnFormula>
    </tableColumn>
    <tableColumn id="13" xr3:uid="{E8717122-3BEF-416C-9B73-4772136FC52A}" name="Current Exposure" dataDxfId="156">
      <calculatedColumnFormula>Overview!$D$22</calculatedColumnFormula>
    </tableColumn>
    <tableColumn id="14" xr3:uid="{9EEF24DC-EC7C-4FEA-B095-BF2AAE70964F}" name="Credit Limit" dataDxfId="155">
      <calculatedColumnFormula>Overview!$D$23</calculatedColumnFormula>
    </tableColumn>
    <tableColumn id="15" xr3:uid="{24F4CC6A-6158-4E99-AF62-D891FF241451}" name="Deal Type">
      <calculatedColumnFormula>Overview!$D$10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A62BE90-9B33-4427-8260-3077D14B8DEC}" name="costs" displayName="costs" ref="A5:M6" totalsRowShown="0" dataDxfId="154">
  <autoFilter ref="A5:M6" xr:uid="{2A62BE90-9B33-4427-8260-3077D14B8DEC}"/>
  <tableColumns count="13">
    <tableColumn id="1" xr3:uid="{10830248-42AF-48F8-BDC6-9EEFE8440FA6}" name="Quantity" dataDxfId="153">
      <calculatedColumnFormula>'Sales Tbls - One Prod'!E5</calculatedColumnFormula>
    </tableColumn>
    <tableColumn id="2" xr3:uid="{B337EAAF-A9EF-4163-820C-102AE94BA963}" name="Sales Price" dataDxfId="152">
      <calculatedColumnFormula>'Sales Tbls - One Prod'!$G$8</calculatedColumnFormula>
    </tableColumn>
    <tableColumn id="3" xr3:uid="{73B2DA6E-D62D-4CA1-B3AA-C4368AF6C8CD}" name="Cost of Material" dataDxfId="151">
      <calculatedColumnFormula>'Sales Tbls - One Prod'!$G$10</calculatedColumnFormula>
    </tableColumn>
    <tableColumn id="4" xr3:uid="{48757927-C3F1-43B7-91B4-4CE75C0298A2}" name="Transport" dataDxfId="150">
      <calculatedColumnFormula>'Sales Tbls - One Prod'!$G$12</calculatedColumnFormula>
    </tableColumn>
    <tableColumn id="5" xr3:uid="{E1F6B551-EF4D-47C3-887D-10C722522BC9}" name="FERI Costs" dataDxfId="149">
      <calculatedColumnFormula>'Sales Tbls - One Prod'!$G$13</calculatedColumnFormula>
    </tableColumn>
    <tableColumn id="6" xr3:uid="{84B1C000-5B18-4B55-A972-3C925E754C01}" name="Storage &amp; Handling" dataDxfId="148">
      <calculatedColumnFormula>'Sales Tbls - One Prod'!$G$14</calculatedColumnFormula>
    </tableColumn>
    <tableColumn id="7" xr3:uid="{C38AAF00-6CD2-435B-855B-3E937B4174E0}" name="Packaging" dataDxfId="147">
      <calculatedColumnFormula>'Sales Tbls - One Prod'!$G$15</calculatedColumnFormula>
    </tableColumn>
    <tableColumn id="8" xr3:uid="{AB951E6F-0123-4075-B977-CC5BF1BFFBA0}" name="Bagging and Bags" dataDxfId="146">
      <calculatedColumnFormula>'Sales Tbls - One Prod'!$G$16</calculatedColumnFormula>
    </tableColumn>
    <tableColumn id="9" xr3:uid="{F96CE039-F147-42B0-BD6B-FF8C616089C0}" name="Clearance" dataDxfId="145">
      <calculatedColumnFormula>'Sales Tbls - One Prod'!$G$17</calculatedColumnFormula>
    </tableColumn>
    <tableColumn id="10" xr3:uid="{0D9782AA-3D78-4528-AA1C-58ECC7B1D20D}" name="Other" dataDxfId="144">
      <calculatedColumnFormula>'Sales Tbls - One Prod'!$G$18</calculatedColumnFormula>
    </tableColumn>
    <tableColumn id="11" xr3:uid="{6971C7B7-D562-493C-9752-B69730FBA98F}" name="Gross Profit" dataDxfId="143">
      <calculatedColumnFormula>'Sales Tbls - One Prod'!$G$19</calculatedColumnFormula>
    </tableColumn>
    <tableColumn id="12" xr3:uid="{1E2E31F8-111C-42FA-A19C-3D86DD48F1A8}" name="Finance Cost" dataDxfId="142">
      <calculatedColumnFormula>'Sales Tbls - One Prod'!G23</calculatedColumnFormula>
    </tableColumn>
    <tableColumn id="13" xr3:uid="{7548259B-19B2-4293-A3C8-086057EDEC9E}" name="Profit After Interest" dataDxfId="141">
      <calculatedColumnFormula>'Sales Tbls - One Prod'!$G$21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9BFFCE7-EB3A-4141-A977-601CCDFA21E9}" name="new_ent" displayName="new_ent" ref="A9:F10" totalsRowShown="0" headerRowDxfId="140">
  <autoFilter ref="A9:F10" xr:uid="{D9BFFCE7-EB3A-4141-A977-601CCDFA21E9}"/>
  <tableColumns count="6">
    <tableColumn id="1" xr3:uid="{B6CA22C6-3216-4E51-88DD-C43846AFBD0C}" name="Deal Number">
      <calculatedColumnFormula>Overview!$D$6</calculatedColumnFormula>
    </tableColumn>
    <tableColumn id="2" xr3:uid="{AC2375C3-7C3F-4B31-A658-05360F570C9F}" name="Sales Rep">
      <calculatedColumnFormula>Overview!$D$7</calculatedColumnFormula>
    </tableColumn>
    <tableColumn id="3" xr3:uid="{825B939F-AA5E-42C6-B184-9E1F998BB2DA}" name="Name of Client">
      <calculatedColumnFormula>Overview!$D$8</calculatedColumnFormula>
    </tableColumn>
    <tableColumn id="4" xr3:uid="{AB747943-1CEE-49CE-8073-77043D05EEF4}" name="Product Group">
      <calculatedColumnFormula>Overview!$D$9</calculatedColumnFormula>
    </tableColumn>
    <tableColumn id="5" xr3:uid="{C480A913-9ECF-4159-8BCC-B06192615BD9}" name="Consignee Location">
      <calculatedColumnFormula>Overview!$D$12</calculatedColumnFormula>
    </tableColumn>
    <tableColumn id="6" xr3:uid="{0D577A03-1724-4176-A7D5-409001B3529C}" name="Delivery Location">
      <calculatedColumnFormula>Overview!$D$13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847A218-BC92-4D79-A565-CD6190C83999}" name="data_tbl" displayName="data_tbl" ref="A13:M15" totalsRowShown="0">
  <autoFilter ref="A13:M15" xr:uid="{A847A218-BC92-4D79-A565-CD6190C83999}"/>
  <tableColumns count="13">
    <tableColumn id="1" xr3:uid="{CBD1DDDF-6115-4D7D-B606-EA887141AD7F}" name="Deal No" dataDxfId="139">
      <calculatedColumnFormula>Overview!$D$6</calculatedColumnFormula>
    </tableColumn>
    <tableColumn id="2" xr3:uid="{BB3E7B05-AE85-4F6D-B394-ED5791D55948}" name="Product" dataDxfId="138">
      <calculatedColumnFormula>Overview!$D$9</calculatedColumnFormula>
    </tableColumn>
    <tableColumn id="3" xr3:uid="{2044E752-9102-40E4-9AF0-FD4B144E6425}" name="UoM" dataDxfId="137">
      <calculatedColumnFormula>'Stock Cost'!$H$6</calculatedColumnFormula>
    </tableColumn>
    <tableColumn id="4" xr3:uid="{DB308000-575B-47DA-B4DF-6C85731FB978}" name="Quantity" dataDxfId="136">
      <calculatedColumnFormula>SUM(stock_cost[Quantity])</calculatedColumnFormula>
    </tableColumn>
    <tableColumn id="5" xr3:uid="{43B045BF-2B3C-45B0-9F1B-97A26CA5621C}" name="Currency"/>
    <tableColumn id="6" xr3:uid="{843C58E1-9DD0-4BA4-B7D4-0D984E2F8C96}" name="Exchange" dataDxfId="135">
      <calculatedColumnFormula>Overview!$D$18</calculatedColumnFormula>
    </tableColumn>
    <tableColumn id="7" xr3:uid="{0E935FCD-15F1-490B-8AD1-5F00106918D5}" name="Sales" dataDxfId="134">
      <calculatedColumnFormula>Overview!P8</calculatedColumnFormula>
    </tableColumn>
    <tableColumn id="8" xr3:uid="{123CE04F-BB71-45B9-B3DF-F2125D4E02BB}" name="Cost of Sales" dataDxfId="133">
      <calculatedColumnFormula>Overview!P10</calculatedColumnFormula>
    </tableColumn>
    <tableColumn id="9" xr3:uid="{B08B1C01-ADC9-4006-9FA4-AC1550DBD391}" name="Gross Profit" dataDxfId="132">
      <calculatedColumnFormula>Overview!P12</calculatedColumnFormula>
    </tableColumn>
    <tableColumn id="10" xr3:uid="{C25B1FB0-347F-4286-83A6-23358FF36268}" name="Cost of Material" dataDxfId="131">
      <calculatedColumnFormula array="1">IFERROR(IF('Stock Cost'!K5="ZAR",SUM(stock_cost[Total Cost]),SUM(stock_cost[Total Cost]*Overview!D17)),"")</calculatedColumnFormula>
    </tableColumn>
    <tableColumn id="11" xr3:uid="{11EAAEA0-DFDF-4299-935D-BFD66775E78C}" name="Transport Cost" dataDxfId="130">
      <calculatedColumnFormula array="1">IFERROR(IF(transport_cost[Cost Currency]="ZAR",SUM(transport_cost[Total Cost]),SUM(transport_cost[Total Cost]*Overview!D17)),"")</calculatedColumnFormula>
    </tableColumn>
    <tableColumn id="12" xr3:uid="{F0090ED7-304E-4B50-85E8-0348B75F32D7}" name="Other Cost" dataDxfId="129">
      <calculatedColumnFormula array="1">IFERROR(IF(ad_hoc_cost[Cost Currency]="ZAR",SUM(ad_hoc_cost[Total Cost]),SUM(ad_hoc_cost[Total Cost]*Overview!D17)),"")</calculatedColumnFormula>
    </tableColumn>
    <tableColumn id="13" xr3:uid="{270D526F-9764-4FEF-A625-64B748FC8C09}" name="Finance Cost" dataDxfId="12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500016-0D15-44A6-868A-D34EF0F390F3}" name="Table19" displayName="Table19" ref="A1:E101" totalsRowShown="0" headerRowDxfId="93" dataDxfId="92" headerRowBorderDxfId="103" tableBorderDxfId="104" totalsRowBorderDxfId="102">
  <autoFilter ref="A1:E101" xr:uid="{DA781D36-8FD0-459A-9B20-FDA929E36441}"/>
  <sortState xmlns:xlrd2="http://schemas.microsoft.com/office/spreadsheetml/2017/richdata2" ref="A2:E101">
    <sortCondition ref="A1:A101"/>
  </sortState>
  <tableColumns count="5">
    <tableColumn id="1" xr3:uid="{DCCD76A2-9E79-4ED9-90FA-BAD35AEC9C73}" name="Client ID" dataDxfId="98"/>
    <tableColumn id="2" xr3:uid="{360E45CB-4C63-4F78-9DFA-2B92DA453BF4}" name="Client Name" dataDxfId="97"/>
    <tableColumn id="3" xr3:uid="{34866BB8-67ED-401D-B288-8240CE5E634E}" name="Payment Terms" dataDxfId="96"/>
    <tableColumn id="4" xr3:uid="{98672702-76E6-4D2A-805A-B519BBA28528}" name="Current Exposure" dataDxfId="95"/>
    <tableColumn id="5" xr3:uid="{B3C1CF90-DFC2-4F6C-94F0-D38C52D5B75B}" name="Credit Limit" dataDxfId="9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D9FFC2D-CB78-49BB-99F2-A6D42C6B4E4C}" name="Table22" displayName="Table22" ref="G1:J26" totalsRowShown="0" headerRowDxfId="87" dataDxfId="86" headerRowBorderDxfId="106" tableBorderDxfId="107" totalsRowBorderDxfId="105">
  <autoFilter ref="G1:J26" xr:uid="{5D9FFC2D-CB78-49BB-99F2-A6D42C6B4E4C}"/>
  <sortState xmlns:xlrd2="http://schemas.microsoft.com/office/spreadsheetml/2017/richdata2" ref="G2:J26">
    <sortCondition ref="G1:G26"/>
  </sortState>
  <tableColumns count="4">
    <tableColumn id="1" xr3:uid="{13A7E93B-10BE-4672-9F6A-FD218A546559}" name="Product Ref" dataDxfId="91"/>
    <tableColumn id="2" xr3:uid="{12C441F0-8B45-41CD-B7DD-D03348E031B8}" name="Product Name" dataDxfId="90"/>
    <tableColumn id="3" xr3:uid="{FEEA699D-F11D-4B81-AE00-7F9554FE8A44}" name="Specification" dataDxfId="89"/>
    <tableColumn id="4" xr3:uid="{D54CCC28-EC82-41E6-810C-AD024A29227D}" name="HS Code" dataDxfId="8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401ABF6-8644-46B7-BB04-1875800040DF}" name="Table33" displayName="Table33" ref="L1:N52" totalsRowShown="0" headerRowDxfId="82" dataDxfId="81" headerRowBorderDxfId="100" tableBorderDxfId="101" totalsRowBorderDxfId="99">
  <autoFilter ref="L1:N52" xr:uid="{B401ABF6-8644-46B7-BB04-1875800040DF}"/>
  <sortState xmlns:xlrd2="http://schemas.microsoft.com/office/spreadsheetml/2017/richdata2" ref="L2:N51">
    <sortCondition ref="L1:L51"/>
  </sortState>
  <tableColumns count="3">
    <tableColumn id="1" xr3:uid="{3E00AF50-5D12-4A26-B845-68501472B7B3}" name="Consignee Location" dataDxfId="85"/>
    <tableColumn id="2" xr3:uid="{AB315179-1D2E-47F4-B4DA-E0DA6B30DFB4}" name="City" dataDxfId="84"/>
    <tableColumn id="3" xr3:uid="{E99389A1-25EB-4646-8F7F-6471C2767E00}" name="Country" dataDxfId="8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1F7911A-BF0D-4B13-86F7-2D1827AF4B48}" name="Table34" displayName="Table34" ref="P1:Q17" totalsRowShown="0" headerRowDxfId="70" dataDxfId="76" headerRowBorderDxfId="74" tableBorderDxfId="75" totalsRowBorderDxfId="73">
  <autoFilter ref="P1:Q17" xr:uid="{01F7911A-BF0D-4B13-86F7-2D1827AF4B48}"/>
  <tableColumns count="2">
    <tableColumn id="1" xr3:uid="{2957783F-1A09-4ABB-84B2-DC4C08B8BFDC}" name="Pack ID" dataDxfId="72"/>
    <tableColumn id="2" xr3:uid="{450E3833-7605-4282-9E1E-5A4F10B1759B}" name="Type" dataDxfId="7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20E1D82-AEA1-44F9-80B9-93CA5B74EF9B}" name="Table35" displayName="Table35" ref="S1:T52" totalsRowShown="0" headerRowDxfId="55" dataDxfId="69" headerRowBorderDxfId="59" tableBorderDxfId="60" totalsRowBorderDxfId="58">
  <autoFilter ref="S1:T52" xr:uid="{A20E1D82-AEA1-44F9-80B9-93CA5B74EF9B}"/>
  <sortState xmlns:xlrd2="http://schemas.microsoft.com/office/spreadsheetml/2017/richdata2" ref="S2:T52">
    <sortCondition ref="T1:T52"/>
  </sortState>
  <tableColumns count="2">
    <tableColumn id="1" xr3:uid="{A1837B0E-8115-4A81-B7FE-642FA9ED1707}" name="Country Code" dataDxfId="57"/>
    <tableColumn id="2" xr3:uid="{0393BD55-AC9B-41EF-9121-885C3607BE40}" name="Country Name" dataDxfId="5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104FEED-E6E3-4802-A0C4-6F3316140DDA}" name="Table36" displayName="Table36" ref="V1:W26" totalsRowShown="0" headerRowDxfId="62" dataDxfId="68" headerRowBorderDxfId="66" tableBorderDxfId="67" totalsRowBorderDxfId="65">
  <autoFilter ref="V1:W26" xr:uid="{7104FEED-E6E3-4802-A0C4-6F3316140DDA}"/>
  <tableColumns count="2">
    <tableColumn id="1" xr3:uid="{2547911F-3496-4418-BD84-26EF83E793CC}" name="Transport ID" dataDxfId="64"/>
    <tableColumn id="2" xr3:uid="{AA386BA4-4A5C-4395-89A0-B65A943F543F}" name="Transporter" dataDxfId="6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0880F89-8085-4382-927F-B7D1BCDA47E6}" name="Table38" displayName="Table38" ref="Y1:AA27" totalsRowShown="0" headerRowDxfId="48" dataDxfId="61" headerRowBorderDxfId="53" tableBorderDxfId="54" totalsRowBorderDxfId="52">
  <autoFilter ref="Y1:AA27" xr:uid="{90880F89-8085-4382-927F-B7D1BCDA47E6}"/>
  <tableColumns count="3">
    <tableColumn id="1" xr3:uid="{ACA4E370-8614-4CFB-BAFA-6D1EF974010E}" name="City Code" dataDxfId="51"/>
    <tableColumn id="2" xr3:uid="{8CF082C9-2C0F-43AE-BE74-4AC4C2FE33F2}" name="City Name" dataDxfId="50"/>
    <tableColumn id="3" xr3:uid="{981567E6-4625-42BC-95A6-44A7D3B7A172}" name="Country Code" dataDxfId="49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B31F3E2-6F2E-4A7A-B822-03A254911AAB}" name="Table39" displayName="Table39" ref="B2:G3" totalsRowShown="0">
  <autoFilter ref="B2:G3" xr:uid="{1B31F3E2-6F2E-4A7A-B822-03A254911AAB}"/>
  <tableColumns count="6">
    <tableColumn id="1" xr3:uid="{89D50BB1-3FEE-40B5-ADBB-BEEEC6521AA7}" name="Deal Number">
      <calculatedColumnFormula>Overview!D6</calculatedColumnFormula>
    </tableColumn>
    <tableColumn id="2" xr3:uid="{D14732B1-4183-420D-A0BF-BB544FBA480C}" name="Sales" dataDxfId="25">
      <calculatedColumnFormula>Overview!L9</calculatedColumnFormula>
    </tableColumn>
    <tableColumn id="3" xr3:uid="{13860E69-8895-4EF9-A518-0F9E0D7CCD1E}" name="Cost of Sales" dataDxfId="24">
      <calculatedColumnFormula>Overview!L11</calculatedColumnFormula>
    </tableColumn>
    <tableColumn id="4" xr3:uid="{0CA9917A-428E-4ADC-8D5A-14A1F0738238}" name="Gross Profit" dataDxfId="23">
      <calculatedColumnFormula>Overview!L13</calculatedColumnFormula>
    </tableColumn>
    <tableColumn id="5" xr3:uid="{AE7F6C3B-0DBE-4DBD-B858-6F1564217CC3}" name="Finance Cost" dataDxfId="22">
      <calculatedColumnFormula>Overview!L15</calculatedColumnFormula>
    </tableColumn>
    <tableColumn id="6" xr3:uid="{9A16184D-F8E9-4D4B-8328-8667295379AB}" name="Profit After FC " dataDxfId="21">
      <calculatedColumnFormula>Overview!L17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7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table" Target="../tables/table2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openxmlformats.org/officeDocument/2006/relationships/table" Target="../tables/table3.xml"/><Relationship Id="rId4" Type="http://schemas.openxmlformats.org/officeDocument/2006/relationships/ctrlProp" Target="../ctrlProps/ctrlProp1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ctrlProp" Target="../ctrlProps/ctrlProp16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1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" Type="http://schemas.openxmlformats.org/officeDocument/2006/relationships/hyperlink" Target="mailto:andrew@puretradeafrica.com" TargetMode="Externa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2FD2-15D7-49B4-ABE7-8B69DD124CF9}">
  <sheetPr codeName="Sheet1"/>
  <dimension ref="B1:W29"/>
  <sheetViews>
    <sheetView showGridLines="0" zoomScaleNormal="100" workbookViewId="0">
      <selection activeCell="L14" sqref="L14"/>
    </sheetView>
  </sheetViews>
  <sheetFormatPr defaultRowHeight="15" x14ac:dyDescent="0.25"/>
  <cols>
    <col min="1" max="2" width="1.7109375" customWidth="1"/>
    <col min="3" max="3" width="18.42578125" bestFit="1" customWidth="1"/>
    <col min="4" max="4" width="21.85546875" bestFit="1" customWidth="1"/>
    <col min="5" max="5" width="9.7109375" bestFit="1" customWidth="1"/>
    <col min="6" max="7" width="1.7109375" customWidth="1"/>
    <col min="8" max="8" width="15.7109375" bestFit="1" customWidth="1"/>
    <col min="9" max="9" width="1.7109375" customWidth="1"/>
    <col min="10" max="10" width="9.5703125" bestFit="1" customWidth="1"/>
    <col min="11" max="11" width="1.7109375" customWidth="1"/>
    <col min="12" max="12" width="12.42578125" bestFit="1" customWidth="1"/>
    <col min="13" max="13" width="1.7109375" customWidth="1"/>
    <col min="14" max="14" width="11.85546875" bestFit="1" customWidth="1"/>
    <col min="15" max="15" width="1.7109375" customWidth="1"/>
    <col min="16" max="16" width="15.42578125" bestFit="1" customWidth="1"/>
    <col min="17" max="18" width="1.7109375" customWidth="1"/>
    <col min="19" max="19" width="19.42578125" bestFit="1" customWidth="1"/>
    <col min="20" max="20" width="16.42578125" bestFit="1" customWidth="1"/>
    <col min="21" max="21" width="9.7109375" bestFit="1" customWidth="1"/>
    <col min="22" max="22" width="9.28515625" bestFit="1" customWidth="1"/>
    <col min="23" max="23" width="1.7109375" customWidth="1"/>
    <col min="27" max="27" width="10.140625" customWidth="1"/>
  </cols>
  <sheetData>
    <row r="1" spans="2:23" ht="5.0999999999999996" customHeight="1" x14ac:dyDescent="0.25">
      <c r="T1" s="262" t="s">
        <v>0</v>
      </c>
      <c r="U1" s="262" t="s">
        <v>1</v>
      </c>
    </row>
    <row r="2" spans="2:23" x14ac:dyDescent="0.25">
      <c r="B2" s="285" t="str">
        <f>IF(Overview!D6="","",
CONCATENATE(D6," - ",D8," - ",D9," (",H7,")"
))</f>
        <v>QUO10001 - Aurora Interiors - Calcium Sulphate (1000 MT)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7"/>
    </row>
    <row r="3" spans="2:23" x14ac:dyDescent="0.25">
      <c r="B3" s="288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90"/>
    </row>
    <row r="4" spans="2:23" ht="5.0999999999999996" customHeight="1" x14ac:dyDescent="0.25">
      <c r="B4" s="5"/>
      <c r="W4" s="6"/>
    </row>
    <row r="5" spans="2:23" ht="15" customHeight="1" x14ac:dyDescent="0.25">
      <c r="B5" s="5"/>
      <c r="C5" s="14" t="s">
        <v>2</v>
      </c>
      <c r="D5" s="1" t="s">
        <v>3</v>
      </c>
      <c r="E5" s="2" t="s">
        <v>4</v>
      </c>
      <c r="G5" s="281" t="s">
        <v>5</v>
      </c>
      <c r="H5" s="282"/>
      <c r="I5" s="282"/>
      <c r="J5" s="282"/>
      <c r="K5" s="282"/>
      <c r="L5" s="282"/>
      <c r="M5" s="282"/>
      <c r="N5" s="282"/>
      <c r="O5" s="282"/>
      <c r="P5" s="282"/>
      <c r="Q5" s="283"/>
      <c r="S5" s="281" t="s">
        <v>6</v>
      </c>
      <c r="T5" s="282"/>
      <c r="U5" s="282"/>
      <c r="V5" s="282"/>
      <c r="W5" s="6"/>
    </row>
    <row r="6" spans="2:23" ht="15" customHeight="1" x14ac:dyDescent="0.25">
      <c r="B6" s="5"/>
      <c r="C6" s="10" t="s">
        <v>7</v>
      </c>
      <c r="D6" s="88" t="s">
        <v>1060</v>
      </c>
      <c r="E6" s="146"/>
      <c r="G6" s="5"/>
      <c r="H6" s="158"/>
      <c r="J6" s="284" t="s">
        <v>8</v>
      </c>
      <c r="K6" s="284"/>
      <c r="L6" s="284"/>
      <c r="N6" s="284" t="s">
        <v>9</v>
      </c>
      <c r="O6" s="284"/>
      <c r="P6" s="284"/>
      <c r="Q6" s="6"/>
      <c r="S6" s="84" t="s">
        <v>10</v>
      </c>
      <c r="T6" s="84" t="s">
        <v>11</v>
      </c>
      <c r="U6" s="84" t="s">
        <v>12</v>
      </c>
      <c r="V6" s="84" t="s">
        <v>73</v>
      </c>
      <c r="W6" s="6"/>
    </row>
    <row r="7" spans="2:23" ht="15" customHeight="1" x14ac:dyDescent="0.25">
      <c r="B7" s="5"/>
      <c r="C7" s="10" t="s">
        <v>13</v>
      </c>
      <c r="D7" s="88" t="s">
        <v>239</v>
      </c>
      <c r="E7" s="146"/>
      <c r="G7" s="5"/>
      <c r="H7" s="159" t="str">
        <f>CONCATENATE(SUM(stock_cost[Quantity]), " ", 'Stock Cost'!H6)</f>
        <v>1000 MT</v>
      </c>
      <c r="J7" s="11" t="s">
        <v>15</v>
      </c>
      <c r="K7" s="12"/>
      <c r="L7" s="11" t="s">
        <v>16</v>
      </c>
      <c r="M7" s="13"/>
      <c r="N7" s="11" t="s">
        <v>15</v>
      </c>
      <c r="O7" s="12"/>
      <c r="P7" s="11" t="s">
        <v>16</v>
      </c>
      <c r="Q7" s="6"/>
      <c r="S7" s="15" t="s">
        <v>1430</v>
      </c>
      <c r="T7" s="15" t="s">
        <v>1275</v>
      </c>
      <c r="U7" s="157">
        <v>1000</v>
      </c>
      <c r="V7" s="263">
        <v>500</v>
      </c>
      <c r="W7" s="6"/>
    </row>
    <row r="8" spans="2:23" ht="15" customHeight="1" x14ac:dyDescent="0.25">
      <c r="B8" s="5"/>
      <c r="C8" s="10" t="s">
        <v>17</v>
      </c>
      <c r="D8" s="271" t="s">
        <v>1155</v>
      </c>
      <c r="E8" s="146"/>
      <c r="G8" s="5"/>
      <c r="Q8" s="6"/>
      <c r="S8" s="15"/>
      <c r="T8" s="15"/>
      <c r="U8" s="157"/>
      <c r="V8" s="263"/>
      <c r="W8" s="6"/>
    </row>
    <row r="9" spans="2:23" ht="15" customHeight="1" x14ac:dyDescent="0.25">
      <c r="B9" s="5"/>
      <c r="C9" s="10" t="s">
        <v>18</v>
      </c>
      <c r="D9" s="88" t="s">
        <v>1275</v>
      </c>
      <c r="E9" s="146"/>
      <c r="G9" s="5"/>
      <c r="H9" s="16" t="s">
        <v>19</v>
      </c>
      <c r="J9" s="93">
        <f>IF($D$18="","",
  'Sales Tbls - One Prod'!E8)</f>
        <v>950</v>
      </c>
      <c r="K9" s="94"/>
      <c r="L9" s="93">
        <f>IF($D$18="","",
  'Sales Tbls - One Prod'!G8)</f>
        <v>950000</v>
      </c>
      <c r="N9" s="95">
        <f>IF(J9="","",J9*$D$18)</f>
        <v>19000</v>
      </c>
      <c r="O9" s="89"/>
      <c r="P9" s="95">
        <f>IF(L9="","",L9*$D$18)</f>
        <v>19000000</v>
      </c>
      <c r="Q9" s="6"/>
      <c r="S9" s="15"/>
      <c r="T9" s="15"/>
      <c r="U9" s="157"/>
      <c r="V9" s="263"/>
      <c r="W9" s="6"/>
    </row>
    <row r="10" spans="2:23" ht="15" customHeight="1" x14ac:dyDescent="0.25">
      <c r="B10" s="5"/>
      <c r="C10" s="7" t="s">
        <v>20</v>
      </c>
      <c r="D10" s="88" t="s">
        <v>1344</v>
      </c>
      <c r="E10" s="277"/>
      <c r="G10" s="5"/>
      <c r="H10" s="17"/>
      <c r="J10" s="94"/>
      <c r="K10" s="94"/>
      <c r="L10" s="94"/>
      <c r="N10" s="89"/>
      <c r="O10" s="89"/>
      <c r="P10" s="89"/>
      <c r="Q10" s="6"/>
      <c r="S10" s="15"/>
      <c r="T10" s="15"/>
      <c r="U10" s="157"/>
      <c r="V10" s="263"/>
      <c r="W10" s="6"/>
    </row>
    <row r="11" spans="2:23" ht="15" customHeight="1" x14ac:dyDescent="0.25">
      <c r="B11" s="5"/>
      <c r="C11" s="3" t="s">
        <v>21</v>
      </c>
      <c r="D11" s="151" t="s">
        <v>3</v>
      </c>
      <c r="E11" s="4" t="s">
        <v>4</v>
      </c>
      <c r="G11" s="5"/>
      <c r="H11" s="16" t="s">
        <v>22</v>
      </c>
      <c r="J11" s="96">
        <f>IF($D$18="","",
  'Sales Tbls - One Prod'!E10)</f>
        <v>850</v>
      </c>
      <c r="K11" s="97"/>
      <c r="L11" s="96">
        <f>IF($D$18="","",
  'Sales Tbls - One Prod'!G10)</f>
        <v>850000</v>
      </c>
      <c r="M11" s="98"/>
      <c r="N11" s="99">
        <f>IF(J11="","",J11*$D$18)</f>
        <v>17000</v>
      </c>
      <c r="O11" s="100"/>
      <c r="P11" s="99">
        <f>IF(L11="","",L11*$D$18)</f>
        <v>17000000</v>
      </c>
      <c r="Q11" s="6"/>
      <c r="S11" s="15"/>
      <c r="T11" s="15"/>
      <c r="U11" s="157"/>
      <c r="V11" s="263"/>
      <c r="W11" s="6"/>
    </row>
    <row r="12" spans="2:23" ht="15" customHeight="1" x14ac:dyDescent="0.25">
      <c r="B12" s="5"/>
      <c r="C12" s="10" t="s">
        <v>23</v>
      </c>
      <c r="D12" s="88" t="s">
        <v>1386</v>
      </c>
      <c r="E12" s="146"/>
      <c r="G12" s="5"/>
      <c r="H12" s="17"/>
      <c r="J12" s="94"/>
      <c r="K12" s="94"/>
      <c r="L12" s="94"/>
      <c r="N12" s="89"/>
      <c r="O12" s="89"/>
      <c r="P12" s="89"/>
      <c r="Q12" s="6"/>
      <c r="S12" s="15"/>
      <c r="T12" s="15"/>
      <c r="U12" s="157"/>
      <c r="V12" s="263"/>
      <c r="W12" s="6"/>
    </row>
    <row r="13" spans="2:23" ht="15" customHeight="1" x14ac:dyDescent="0.25">
      <c r="B13" s="5"/>
      <c r="C13" s="10" t="s">
        <v>24</v>
      </c>
      <c r="D13" s="410" t="str">
        <f>_xlfn.XLOOKUP(D12,Table33[Consignee Location],Table33[City],"",0,1)</f>
        <v>Kolwezi</v>
      </c>
      <c r="E13" s="146"/>
      <c r="G13" s="5"/>
      <c r="H13" s="16" t="s">
        <v>26</v>
      </c>
      <c r="J13" s="93">
        <f>IF($D$18="","",
  'Sales Tbls - One Prod'!E21)</f>
        <v>100</v>
      </c>
      <c r="K13" s="94"/>
      <c r="L13" s="93">
        <f>IF($D$18="","",
  'Sales Tbls - One Prod'!G21)</f>
        <v>100000</v>
      </c>
      <c r="N13" s="95">
        <f>IF(J13="","",J13*$D$18)</f>
        <v>2000</v>
      </c>
      <c r="O13" s="89"/>
      <c r="P13" s="95">
        <f>IF(L13="","",L13*$D$18)</f>
        <v>2000000</v>
      </c>
      <c r="Q13" s="6"/>
      <c r="S13" s="15"/>
      <c r="T13" s="15"/>
      <c r="U13" s="157"/>
      <c r="V13" s="263"/>
      <c r="W13" s="6"/>
    </row>
    <row r="14" spans="2:23" ht="15" customHeight="1" x14ac:dyDescent="0.25">
      <c r="B14" s="5"/>
      <c r="C14" s="10" t="s">
        <v>27</v>
      </c>
      <c r="D14" s="156">
        <v>45658</v>
      </c>
      <c r="E14" s="146"/>
      <c r="G14" s="5"/>
      <c r="H14" s="17"/>
      <c r="J14" s="94"/>
      <c r="K14" s="94"/>
      <c r="L14" s="94"/>
      <c r="N14" s="89"/>
      <c r="O14" s="89"/>
      <c r="P14" s="89"/>
      <c r="Q14" s="6"/>
      <c r="S14" s="15"/>
      <c r="T14" s="15"/>
      <c r="U14" s="157"/>
      <c r="V14" s="263"/>
      <c r="W14" s="6"/>
    </row>
    <row r="15" spans="2:23" ht="15" customHeight="1" x14ac:dyDescent="0.25">
      <c r="B15" s="5"/>
      <c r="C15" s="3" t="s">
        <v>28</v>
      </c>
      <c r="D15" s="151" t="s">
        <v>3</v>
      </c>
      <c r="E15" s="4" t="s">
        <v>4</v>
      </c>
      <c r="G15" s="5"/>
      <c r="H15" s="16" t="s">
        <v>29</v>
      </c>
      <c r="J15" s="96">
        <f>IF($D$18="","",
  'Sales Tbls - One Prod'!E23)</f>
        <v>7.6442307692307709</v>
      </c>
      <c r="K15" s="97"/>
      <c r="L15" s="96">
        <f>IF($D$18="","",
  'Sales Tbls - One Prod'!G23)</f>
        <v>7644.2307692307713</v>
      </c>
      <c r="M15" s="98"/>
      <c r="N15" s="99">
        <f>IF(J15="","",J15*$D$18)</f>
        <v>152.88461538461542</v>
      </c>
      <c r="O15" s="100"/>
      <c r="P15" s="99">
        <f>IF(L15="","",L15*$D$18)</f>
        <v>152884.61538461543</v>
      </c>
      <c r="Q15" s="6"/>
      <c r="S15" s="15"/>
      <c r="T15" s="15"/>
      <c r="U15" s="157"/>
      <c r="V15" s="263"/>
      <c r="W15" s="6"/>
    </row>
    <row r="16" spans="2:23" ht="15" customHeight="1" x14ac:dyDescent="0.25">
      <c r="B16" s="5"/>
      <c r="C16" s="10" t="s">
        <v>30</v>
      </c>
      <c r="D16" s="410" t="str">
        <f>CONCATENATE(_xlfn.XLOOKUP($D$8,Table19[Client Name],Table19[Payment Terms],"",0,1)," Days after Delivery")</f>
        <v>15 Days after Delivery</v>
      </c>
      <c r="E16" s="146"/>
      <c r="G16" s="5"/>
      <c r="H16" s="17"/>
      <c r="J16" s="94"/>
      <c r="K16" s="94"/>
      <c r="L16" s="94"/>
      <c r="N16" s="89"/>
      <c r="O16" s="89"/>
      <c r="P16" s="89"/>
      <c r="Q16" s="6"/>
      <c r="S16" s="15"/>
      <c r="T16" s="15"/>
      <c r="U16" s="157"/>
      <c r="V16" s="263"/>
      <c r="W16" s="6"/>
    </row>
    <row r="17" spans="2:23" ht="15" customHeight="1" x14ac:dyDescent="0.25">
      <c r="B17" s="5"/>
      <c r="C17" s="10" t="s">
        <v>31</v>
      </c>
      <c r="D17" s="88" t="s">
        <v>8</v>
      </c>
      <c r="E17" s="146"/>
      <c r="G17" s="5"/>
      <c r="H17" s="16" t="s">
        <v>32</v>
      </c>
      <c r="J17" s="93">
        <f>IF($D$18="","",
  'Sales Tbls - One Prod'!E25)</f>
        <v>92.355769230769241</v>
      </c>
      <c r="K17" s="94"/>
      <c r="L17" s="93">
        <f>IF($D$18="","",
  'Sales Tbls - One Prod'!G25)</f>
        <v>92355.769230769234</v>
      </c>
      <c r="N17" s="95">
        <f>IF(J17="","",J17*$D$18)</f>
        <v>1847.1153846153848</v>
      </c>
      <c r="O17" s="89"/>
      <c r="P17" s="95">
        <f>IF(L17="","",L17*$D$18)</f>
        <v>1847115.3846153847</v>
      </c>
      <c r="Q17" s="6"/>
      <c r="S17" s="83"/>
      <c r="T17" s="83"/>
      <c r="U17" s="83"/>
      <c r="V17" s="83"/>
      <c r="W17" s="6"/>
    </row>
    <row r="18" spans="2:23" ht="15" customHeight="1" x14ac:dyDescent="0.25">
      <c r="B18" s="5"/>
      <c r="C18" s="10" t="s">
        <v>33</v>
      </c>
      <c r="D18" s="92">
        <v>20</v>
      </c>
      <c r="E18" s="146"/>
      <c r="G18" s="5"/>
      <c r="H18" s="18"/>
      <c r="Q18" s="6"/>
      <c r="S18" s="281" t="s">
        <v>34</v>
      </c>
      <c r="T18" s="282"/>
      <c r="U18" s="282"/>
      <c r="V18" s="282"/>
      <c r="W18" s="6"/>
    </row>
    <row r="19" spans="2:23" ht="15" customHeight="1" x14ac:dyDescent="0.25">
      <c r="B19" s="5"/>
      <c r="C19" s="3" t="s">
        <v>35</v>
      </c>
      <c r="D19" s="151" t="s">
        <v>3</v>
      </c>
      <c r="E19" s="4" t="s">
        <v>4</v>
      </c>
      <c r="G19" s="5"/>
      <c r="H19" s="16" t="s">
        <v>36</v>
      </c>
      <c r="J19" s="104">
        <f>IF($D$18="","",
  'Sales Tbls - One Prod'!E27)</f>
        <v>0.10526315789473684</v>
      </c>
      <c r="L19" s="434"/>
      <c r="M19" s="399"/>
      <c r="N19" s="435"/>
      <c r="Q19" s="6"/>
      <c r="S19" s="84" t="s">
        <v>37</v>
      </c>
      <c r="T19" s="295" t="s">
        <v>38</v>
      </c>
      <c r="U19" s="296"/>
      <c r="V19" s="84" t="s">
        <v>73</v>
      </c>
      <c r="W19" s="6"/>
    </row>
    <row r="20" spans="2:23" ht="15" customHeight="1" x14ac:dyDescent="0.25">
      <c r="B20" s="5"/>
      <c r="C20" s="10" t="s">
        <v>39</v>
      </c>
      <c r="D20" s="88" t="s">
        <v>40</v>
      </c>
      <c r="E20" s="146"/>
      <c r="G20" s="5"/>
      <c r="H20" s="18"/>
      <c r="J20" s="105"/>
      <c r="Q20" s="6"/>
      <c r="S20" s="436" t="str">
        <f>'Transport Cost'!C6</f>
        <v>RapidRoute Logistics</v>
      </c>
      <c r="T20" s="297" t="str">
        <f>IF('Transport Cost'!C27="","",'Transport Cost'!C27)</f>
        <v>Durban Port to Kolwezi Cobalt Mine</v>
      </c>
      <c r="U20" s="298"/>
      <c r="V20" s="263" cm="1">
        <f t="array" ref="V20">transport_cost[Price]</f>
        <v>325</v>
      </c>
      <c r="W20" s="6"/>
    </row>
    <row r="21" spans="2:23" ht="15" customHeight="1" x14ac:dyDescent="0.25">
      <c r="B21" s="5"/>
      <c r="C21" s="10" t="s">
        <v>41</v>
      </c>
      <c r="D21" s="88" t="s">
        <v>1429</v>
      </c>
      <c r="E21" s="146"/>
      <c r="G21" s="5"/>
      <c r="H21" s="19" t="s">
        <v>42</v>
      </c>
      <c r="J21" s="104">
        <f>IF($D$18="","",
  'Sales Tbls - One Prod'!E28)</f>
        <v>9.7216599190283401E-2</v>
      </c>
      <c r="Q21" s="6"/>
      <c r="S21" s="436"/>
      <c r="T21" s="297"/>
      <c r="U21" s="298"/>
      <c r="V21" s="263"/>
      <c r="W21" s="6"/>
    </row>
    <row r="22" spans="2:23" ht="15" customHeight="1" x14ac:dyDescent="0.25">
      <c r="B22" s="5"/>
      <c r="C22" s="10" t="s">
        <v>43</v>
      </c>
      <c r="D22" s="149">
        <f>_xlfn.XLOOKUP($D$8,Table19[Client Name],Table19[Current Exposure],"",0,1)</f>
        <v>8400</v>
      </c>
      <c r="E22" s="148"/>
      <c r="G22" s="7"/>
      <c r="H22" s="8"/>
      <c r="I22" s="8"/>
      <c r="J22" s="8"/>
      <c r="K22" s="8"/>
      <c r="L22" s="8"/>
      <c r="M22" s="8"/>
      <c r="N22" s="8"/>
      <c r="O22" s="8"/>
      <c r="P22" s="8"/>
      <c r="Q22" s="9"/>
      <c r="S22" s="436"/>
      <c r="T22" s="297"/>
      <c r="U22" s="298"/>
      <c r="V22" s="263"/>
      <c r="W22" s="6"/>
    </row>
    <row r="23" spans="2:23" ht="15" customHeight="1" x14ac:dyDescent="0.25">
      <c r="B23" s="5"/>
      <c r="C23" s="10" t="s">
        <v>44</v>
      </c>
      <c r="D23" s="149">
        <f>_xlfn.XLOOKUP($D$8,Table19[Client Name],Table19[Credit Limit],"",0,1)</f>
        <v>25000</v>
      </c>
      <c r="E23" s="146"/>
      <c r="S23" s="278"/>
      <c r="T23" s="279"/>
      <c r="U23" s="279"/>
      <c r="V23" s="280"/>
      <c r="W23" s="6"/>
    </row>
    <row r="24" spans="2:23" ht="4.5" customHeight="1" x14ac:dyDescent="0.25">
      <c r="B24" s="5"/>
      <c r="W24" s="6"/>
    </row>
    <row r="25" spans="2:23" ht="15" customHeight="1" x14ac:dyDescent="0.25">
      <c r="B25" s="5"/>
      <c r="C25" s="291" t="s">
        <v>45</v>
      </c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3"/>
      <c r="S25" s="294" t="s">
        <v>46</v>
      </c>
      <c r="T25" s="294"/>
      <c r="U25" s="294"/>
      <c r="V25" s="294"/>
      <c r="W25" s="6"/>
    </row>
    <row r="26" spans="2:23" ht="15" customHeight="1" x14ac:dyDescent="0.25">
      <c r="B26" s="5"/>
      <c r="C26" s="301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3"/>
      <c r="S26" s="84" t="s">
        <v>47</v>
      </c>
      <c r="T26" s="295" t="s">
        <v>48</v>
      </c>
      <c r="U26" s="296"/>
      <c r="V26" s="84" t="s">
        <v>49</v>
      </c>
      <c r="W26" s="6"/>
    </row>
    <row r="27" spans="2:23" ht="15" customHeight="1" x14ac:dyDescent="0.25">
      <c r="B27" s="5"/>
      <c r="C27" s="301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3"/>
      <c r="S27" s="106" cm="1">
        <f t="array" ref="S27">IFERROR(INDEX('Cash Flow'!$H$35:$BG$35,1,MATCH(TRUE,INDEX('Cash Flow'!$H$51:$BG$51&lt;0,0),0)),"")</f>
        <v>1</v>
      </c>
      <c r="T27" s="299" t="str">
        <f>IF(S27="","","First Cash Out Flow")</f>
        <v>First Cash Out Flow</v>
      </c>
      <c r="U27" s="300"/>
      <c r="V27" s="107" cm="1">
        <f t="array" ref="V27">IFERROR(INDEX('Cash Flow'!$H$37:$BG$37,1,MATCH(TRUE,INDEX('Cash Flow'!$H$51:$BG$51&lt;0,0),0)),"")</f>
        <v>45992</v>
      </c>
      <c r="W27" s="6"/>
    </row>
    <row r="28" spans="2:23" ht="15" customHeight="1" x14ac:dyDescent="0.25">
      <c r="B28" s="5"/>
      <c r="C28" s="301"/>
      <c r="D28" s="302"/>
      <c r="E28" s="302"/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3"/>
      <c r="S28" s="108" cm="1">
        <f t="array" ref="S28">IFERROR(INDEX('Cash Flow'!$H$35:$BG$35,1,MATCH(TRUE,INDEX('Cash Flow'!$H$67:$BG$67&gt;0,0),0)),"")</f>
        <v>19</v>
      </c>
      <c r="T28" s="299" t="str">
        <f>IF(S28="","","Positive Cash Flow")</f>
        <v>Positive Cash Flow</v>
      </c>
      <c r="U28" s="300"/>
      <c r="V28" s="107" cm="1">
        <f t="array" ref="V28">IFERROR(INDEX('Cash Flow'!$H$37:$BG$37,1,MATCH(TRUE,INDEX('Cash Flow'!$H$67:$BG$67&gt;0,0),0)),"")</f>
        <v>46118</v>
      </c>
      <c r="W28" s="6"/>
    </row>
    <row r="29" spans="2:23" ht="5.0999999999999996" customHeight="1" x14ac:dyDescent="0.2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</row>
  </sheetData>
  <mergeCells count="18">
    <mergeCell ref="C28:Q28"/>
    <mergeCell ref="C27:Q27"/>
    <mergeCell ref="C26:Q26"/>
    <mergeCell ref="T26:U26"/>
    <mergeCell ref="T28:U28"/>
    <mergeCell ref="T27:U27"/>
    <mergeCell ref="C25:Q25"/>
    <mergeCell ref="S18:V18"/>
    <mergeCell ref="S25:V25"/>
    <mergeCell ref="T19:U19"/>
    <mergeCell ref="T20:U20"/>
    <mergeCell ref="T21:U21"/>
    <mergeCell ref="T22:U22"/>
    <mergeCell ref="G5:Q5"/>
    <mergeCell ref="J6:L6"/>
    <mergeCell ref="N6:P6"/>
    <mergeCell ref="B2:W3"/>
    <mergeCell ref="S5:V5"/>
  </mergeCells>
  <conditionalFormatting sqref="D22:D23">
    <cfRule type="expression" dxfId="20" priority="3">
      <formula>$D$8=""</formula>
    </cfRule>
    <cfRule type="expression" dxfId="19" priority="4">
      <formula>$E$22="ZAR"</formula>
    </cfRule>
  </conditionalFormatting>
  <dataValidations count="12">
    <dataValidation type="list" allowBlank="1" showInputMessage="1" showErrorMessage="1" sqref="D17" xr:uid="{6145612B-41C0-48DC-99ED-7B879A2D0972}">
      <formula1>currency</formula1>
    </dataValidation>
    <dataValidation type="decimal" operator="greaterThanOrEqual" allowBlank="1" showInputMessage="1" showErrorMessage="1" sqref="D18" xr:uid="{9C34C242-FC7B-4781-9EA0-C3D1E176FC2E}">
      <formula1>0</formula1>
    </dataValidation>
    <dataValidation type="list" allowBlank="1" showInputMessage="1" showErrorMessage="1" sqref="D20" xr:uid="{7E84B8FC-3880-455D-A26C-0641E723D7FC}">
      <formula1>INCO_list</formula1>
    </dataValidation>
    <dataValidation type="list" allowBlank="1" showInputMessage="1" showErrorMessage="1" sqref="D7" xr:uid="{50E69D99-6EC1-45C8-9524-8652ABB100D0}">
      <formula1>sales_rep_list</formula1>
    </dataValidation>
    <dataValidation type="list" allowBlank="1" showInputMessage="1" showErrorMessage="1" errorTitle="Error Alert" error="Don't be concerned. An error is just an opportunity to learn. Now lets try that one again" prompt="The Product group is the category that summarises the Deal's products_x000a__x000a_Multiple Products will be various._x000a__x000a_New categories must be put in the comment section on the right_x000a__x000a_If the Product is not in the list leave this blank_x000a__x000a__x000a_" sqref="D9" xr:uid="{55A73C8D-7274-4D9D-A65A-AF28462EE7DE}">
      <formula1>Product</formula1>
    </dataValidation>
    <dataValidation type="list" errorStyle="information" allowBlank="1" showInputMessage="1" showErrorMessage="1" errorTitle="Different Input" error="Please check to be certain the location is not on the list_x000a__x000a_If the Location is Not on the list please enter new consignee " promptTitle="Consignee Info" prompt="The name of the entity the Product will be delivered to_x000a_Or the Loaction specified by the customer_x000a__x000a_A Beijing Sun Deal to Sicomines _x000a_ &gt; Client - Beijing Sun_x000a_ &gt; Consignee - Sicomines_x000a_ &gt; Consignee Location - Sicomines_x000a__x000a__x000a__x000a_" sqref="D12" xr:uid="{D04CFDBE-2D94-48DF-B7FA-34F4F469AB9C}">
      <formula1>Locations</formula1>
    </dataValidation>
    <dataValidation type="textLength" operator="equal" allowBlank="1" showInputMessage="1" showErrorMessage="1" errorTitle="Seems like we have a problem...." error="Oh No! Try Again Please" promptTitle="Deal Number" prompt="Must be in the Format QUO12345_x000a__x000a_E.g QUO24005_x000a__x000a_Do Not Use the client code here_x000a__x000a_E.g QUO24005" sqref="D6" xr:uid="{EF0A9567-C83D-43BE-8C76-707D5299B870}">
      <formula1>8</formula1>
    </dataValidation>
    <dataValidation type="decimal" operator="greaterThan" allowBlank="1" showInputMessage="1" showErrorMessage="1" promptTitle="Formatting" prompt="Correct Format will appear once Stock Allocation has been completed" sqref="V7:V11" xr:uid="{C82A674F-BF93-461F-8A2C-F4928A5CD813}">
      <formula1>0</formula1>
    </dataValidation>
    <dataValidation type="decimal" operator="greaterThan" allowBlank="1" showInputMessage="1" showErrorMessage="1" promptTitle="Format" prompt="Correct Format will appear once Transport Allocation has been completed" sqref="V20:V23" xr:uid="{3F7CA935-0BF6-4A1E-8BCE-25B5348D01BF}">
      <formula1>0</formula1>
    </dataValidation>
    <dataValidation allowBlank="1" showInputMessage="1" showErrorMessage="1" promptTitle="Delivery Start" prompt="Please Enter the Month Delivery is expected to begin" sqref="D14" xr:uid="{FEDEF8D9-43D6-4FA8-BA73-89B4947DBA26}"/>
    <dataValidation type="list" allowBlank="1" showInputMessage="1" showErrorMessage="1" errorTitle="Error Alert" error="Don't be concerned. An error is just an opportunity to learn. Now lets try that one again" prompt="The Deal Type is the category that differentiates whether there is a single or multiple products in use for this deal._x000a_" sqref="D10" xr:uid="{DDE298B1-3DE6-43C5-A581-224315A2C2F4}">
      <formula1>"Single, Multiple"</formula1>
    </dataValidation>
    <dataValidation type="list" allowBlank="1" showInputMessage="1" showErrorMessage="1" errorTitle="Invalid Client Name" error="Ensure Customer is onboarded or client list has been refreshed." sqref="D8" xr:uid="{9AFF4A33-8EFF-4781-8D96-3DD6080B3AF8}">
      <formula1>Client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 macro="[0]!RefreshAndLockAllSheets">
                <anchor>
                  <from>
                    <xdr:col>1</xdr:col>
                    <xdr:colOff>38100</xdr:colOff>
                    <xdr:row>29</xdr:row>
                    <xdr:rowOff>114300</xdr:rowOff>
                  </from>
                  <to>
                    <xdr:col>3</xdr:col>
                    <xdr:colOff>47625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Button 3">
              <controlPr defaultSize="0" print="0" autoFill="0" autoPict="0" macro="[0]!AdjustColumnWidthProtectedSheet">
                <anchor>
                  <from>
                    <xdr:col>1</xdr:col>
                    <xdr:colOff>38100</xdr:colOff>
                    <xdr:row>31</xdr:row>
                    <xdr:rowOff>171450</xdr:rowOff>
                  </from>
                  <to>
                    <xdr:col>3</xdr:col>
                    <xdr:colOff>47625</xdr:colOff>
                    <xdr:row>33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B3AC060-EB1F-4D71-ACF8-22972E4F9B01}">
            <xm:f>'Stock Cost'!$K$6="ZAR"</xm:f>
            <x14:dxf>
              <numFmt numFmtId="34" formatCode="_-&quot;R&quot;* #,##0.00_-;\-&quot;R&quot;* #,##0.00_-;_-&quot;R&quot;* &quot;-&quot;??_-;_-@_-"/>
            </x14:dxf>
          </x14:cfRule>
          <xm:sqref>V7:V16</xm:sqref>
        </x14:conditionalFormatting>
        <x14:conditionalFormatting xmlns:xm="http://schemas.microsoft.com/office/excel/2006/main">
          <x14:cfRule type="expression" priority="1" id="{9C7583FC-E48D-4952-B517-3F5227F1A83A}">
            <xm:f>'Transport Cost'!$K$6="ZAR"</xm:f>
            <x14:dxf>
              <numFmt numFmtId="34" formatCode="_-&quot;R&quot;* #,##0.00_-;\-&quot;R&quot;* #,##0.00_-;_-&quot;R&quot;* &quot;-&quot;??_-;_-@_-"/>
            </x14:dxf>
          </x14:cfRule>
          <xm:sqref>V20:V23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C28C-BF44-4DBE-BE91-31D77456F4A2}">
  <sheetPr codeName="Sheet2"/>
  <dimension ref="B1:BB17"/>
  <sheetViews>
    <sheetView showGridLines="0" topLeftCell="A2" zoomScaleNormal="100" workbookViewId="0">
      <selection activeCell="D14" sqref="D14"/>
    </sheetView>
  </sheetViews>
  <sheetFormatPr defaultColWidth="8.42578125" defaultRowHeight="15" x14ac:dyDescent="0.25"/>
  <cols>
    <col min="1" max="2" width="1.7109375" customWidth="1"/>
    <col min="3" max="3" width="15.28515625" bestFit="1" customWidth="1"/>
    <col min="4" max="4" width="18.28515625" bestFit="1" customWidth="1"/>
    <col min="5" max="5" width="19" bestFit="1" customWidth="1"/>
    <col min="6" max="6" width="12.85546875" bestFit="1" customWidth="1"/>
    <col min="7" max="7" width="14.28515625" bestFit="1" customWidth="1"/>
    <col min="8" max="8" width="10" bestFit="1" customWidth="1"/>
    <col min="9" max="9" width="20.85546875" bestFit="1" customWidth="1"/>
    <col min="10" max="10" width="13.28515625" bestFit="1" customWidth="1"/>
    <col min="11" max="11" width="17.85546875" bestFit="1" customWidth="1"/>
    <col min="12" max="12" width="19.42578125" bestFit="1" customWidth="1"/>
    <col min="13" max="13" width="14.28515625" bestFit="1" customWidth="1"/>
    <col min="14" max="14" width="9.85546875" bestFit="1" customWidth="1"/>
    <col min="15" max="15" width="19.5703125" bestFit="1" customWidth="1"/>
    <col min="16" max="16" width="18.42578125" bestFit="1" customWidth="1"/>
    <col min="17" max="17" width="15.5703125" bestFit="1" customWidth="1"/>
    <col min="18" max="18" width="15" bestFit="1" customWidth="1"/>
    <col min="19" max="19" width="15.28515625" bestFit="1" customWidth="1"/>
    <col min="20" max="20" width="14.7109375" bestFit="1" customWidth="1"/>
    <col min="21" max="21" width="14.140625" bestFit="1" customWidth="1"/>
    <col min="22" max="23" width="13.5703125" bestFit="1" customWidth="1"/>
    <col min="24" max="24" width="1.7109375" customWidth="1"/>
    <col min="25" max="25" width="0" hidden="1" customWidth="1"/>
    <col min="26" max="26" width="2" bestFit="1" customWidth="1"/>
  </cols>
  <sheetData>
    <row r="1" spans="2:26" hidden="1" x14ac:dyDescent="0.25"/>
    <row r="2" spans="2:26" ht="15" customHeight="1" x14ac:dyDescent="0.25"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2:26" ht="15" customHeight="1" x14ac:dyDescent="0.25"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2:26" x14ac:dyDescent="0.25">
      <c r="Z4" s="268" t="str" cm="1">
        <f t="array" ref="Z4">IFERROR(SUMPRODUCT(1/COUNTIF(#REF!, #REF!)),"")</f>
        <v/>
      </c>
    </row>
    <row r="5" spans="2:26" x14ac:dyDescent="0.25">
      <c r="C5" s="24" t="s">
        <v>50</v>
      </c>
      <c r="D5" s="25" t="s">
        <v>51</v>
      </c>
      <c r="E5" s="25" t="s">
        <v>52</v>
      </c>
      <c r="F5" s="25" t="s">
        <v>54</v>
      </c>
      <c r="G5" s="25" t="s">
        <v>55</v>
      </c>
      <c r="H5" s="25" t="s">
        <v>56</v>
      </c>
      <c r="I5" s="25" t="s">
        <v>57</v>
      </c>
      <c r="J5" s="25" t="s">
        <v>12</v>
      </c>
      <c r="K5" s="25" t="s">
        <v>58</v>
      </c>
      <c r="L5" s="25" t="s">
        <v>59</v>
      </c>
      <c r="M5" s="25" t="s">
        <v>60</v>
      </c>
      <c r="N5" s="25" t="s">
        <v>61</v>
      </c>
      <c r="O5" s="25" t="s">
        <v>31</v>
      </c>
      <c r="P5" s="25" t="s">
        <v>33</v>
      </c>
      <c r="Q5" s="25" t="s">
        <v>62</v>
      </c>
      <c r="R5" s="25" t="s">
        <v>63</v>
      </c>
      <c r="S5" s="25" t="s">
        <v>64</v>
      </c>
      <c r="T5" s="25" t="s">
        <v>65</v>
      </c>
      <c r="U5" s="25" t="s">
        <v>66</v>
      </c>
      <c r="V5" s="26" t="s">
        <v>67</v>
      </c>
    </row>
    <row r="6" spans="2:26" x14ac:dyDescent="0.25">
      <c r="C6" s="142" t="s">
        <v>1430</v>
      </c>
      <c r="D6" s="274" t="s">
        <v>1275</v>
      </c>
      <c r="E6" s="426" t="str">
        <f>_xlfn.XLOOKUP(stock_cost[[#This Row],[Product Name]],Table22[Product Name],Table22[Specification],"",0,1)</f>
        <v>Dihydrate (Gypsum)</v>
      </c>
      <c r="F6" s="427" t="str">
        <f>_xlfn.XLOOKUP(stock_cost[[#This Row],[Product Name]],Table22[Product Name],Table22[HS Code],"",0,1)</f>
        <v>2520.10</v>
      </c>
      <c r="G6" s="273" t="s">
        <v>1432</v>
      </c>
      <c r="H6" s="142" t="s">
        <v>68</v>
      </c>
      <c r="I6" s="142" t="s">
        <v>892</v>
      </c>
      <c r="J6" s="143">
        <v>1000</v>
      </c>
      <c r="K6" s="264" t="s">
        <v>8</v>
      </c>
      <c r="L6" s="265">
        <v>500</v>
      </c>
      <c r="M6" s="266">
        <f>IF(stock_cost[[#This Row],[Price (VAT Excl)]]="","",stock_cost[[#This Row],[Price (VAT Excl)]]*stock_cost[[#This Row],[Quantity]])</f>
        <v>500000</v>
      </c>
      <c r="N6" s="267" t="str">
        <f>IF(stock_cost[[#This Row],[Price (VAT Excl)]]="","","Stock")</f>
        <v>Stock</v>
      </c>
      <c r="O6" s="267" t="str">
        <f>IF(Overview!$D$17="","",Overview!$D$17)</f>
        <v>USD</v>
      </c>
      <c r="P6" s="267">
        <f>IF(Overview!$D$18="","",Overview!$D$18)</f>
        <v>20</v>
      </c>
      <c r="Q6" s="266">
        <f>IF(stock_cost[[#This Row],[Price (VAT Excl)]]="","",
  IF(stock_cost[[#This Row],[Cost Currency]]="USD",
           stock_cost[[#This Row],[Price (VAT Excl)]],
           stock_cost[[#This Row],[Price (VAT Excl)]]/stock_cost[[#This Row],[Exchange Rate]]
)
 )</f>
        <v>500</v>
      </c>
      <c r="R6" s="266">
        <f>IF(stock_cost[[#This Row],[Price (VAT Excl)]]="","",
  IF(stock_cost[[#This Row],[Cost Currency]]="USD",
           stock_cost[[#This Row],[Total Cost]],
           stock_cost[[#This Row],[Total Cost]]/stock_cost[[#This Row],[Exchange Rate]]
)
 )</f>
        <v>500000</v>
      </c>
      <c r="S6" s="266">
        <f>IF(stock_cost[[#This Row],[Price (VAT Excl)]]="","",
  IF(stock_cost[[#This Row],[Cost Currency]]="ZAR",
           stock_cost[[#This Row],[Price (VAT Excl)]],
           stock_cost[[#This Row],[Price (VAT Excl)]]*stock_cost[[#This Row],[Exchange Rate]]
)
 )</f>
        <v>10000</v>
      </c>
      <c r="T6" s="266">
        <f>IF(stock_cost[[#This Row],[Price (VAT Excl)]]="","",
  IF(stock_cost[[#This Row],[Cost Currency]]="ZAR",
           stock_cost[[#This Row],[Total Cost]],
           stock_cost[[#This Row],[Total Cost]]*stock_cost[[#This Row],[Exchange Rate]]
)
 )</f>
        <v>10000000</v>
      </c>
      <c r="U6" s="266">
        <f>IF(stock_cost[[#This Row],[Quote Currency]]="","",
  IF(stock_cost[[#This Row],[Quote Currency]]="USD",
  stock_cost[[#This Row],[Price (USD)]],
  stock_cost[[#This Row],[Price (ZAR)]]
))</f>
        <v>500</v>
      </c>
      <c r="V6" s="266">
        <f>IF(stock_cost[[#This Row],[Quote Currency]]="","",
  IF(stock_cost[[#This Row],[Quote Currency]]="USD",
  stock_cost[[#This Row],[Cost (USD)]],
  stock_cost[[#This Row],[Cost (ZAR)]]
))</f>
        <v>500000</v>
      </c>
    </row>
    <row r="7" spans="2:26" ht="15" customHeight="1" x14ac:dyDescent="0.25"/>
    <row r="8" spans="2:26" x14ac:dyDescent="0.25">
      <c r="C8" s="305" t="s">
        <v>72</v>
      </c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</row>
    <row r="9" spans="2:26" x14ac:dyDescent="0.25"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  <c r="N9" s="304"/>
    </row>
    <row r="10" spans="2:26" x14ac:dyDescent="0.25"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</row>
    <row r="11" spans="2:26" x14ac:dyDescent="0.25"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</row>
    <row r="12" spans="2:26" x14ac:dyDescent="0.25"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</row>
    <row r="17" ht="15" customHeight="1" x14ac:dyDescent="0.25"/>
  </sheetData>
  <sheetProtection algorithmName="SHA-512" hashValue="FLO5a9S4PC8fzG0TwEau//Rw0Az7Fgqgvk5Q108x4H/3wdUU0dXdy1kaig8aaxkUV/BQcVKDLn8emUas6oyzUw==" saltValue="m+mwbtJ8d38fBXrIa2cMSg==" spinCount="100000" sheet="1" objects="1" scenarios="1"/>
  <mergeCells count="6">
    <mergeCell ref="B2:Z3"/>
    <mergeCell ref="C12:N12"/>
    <mergeCell ref="C11:N11"/>
    <mergeCell ref="C10:N10"/>
    <mergeCell ref="C9:N9"/>
    <mergeCell ref="C8:N8"/>
  </mergeCells>
  <phoneticPr fontId="28" type="noConversion"/>
  <dataValidations count="5">
    <dataValidation type="list" allowBlank="1" showInputMessage="1" showErrorMessage="1" sqref="K6" xr:uid="{D2D19ACD-36B5-40D7-875D-DE77A216E80E}">
      <formula1>currency</formula1>
    </dataValidation>
    <dataValidation type="list" allowBlank="1" showInputMessage="1" showErrorMessage="1" sqref="H6" xr:uid="{AB6F14CC-5EAA-4DD9-8D34-FD85EEDB905A}">
      <formula1>uom_list</formula1>
    </dataValidation>
    <dataValidation type="list" allowBlank="1" showInputMessage="1" showErrorMessage="1" sqref="I6" xr:uid="{77618A95-2B51-4641-9013-F145D3697D78}">
      <formula1>countries</formula1>
    </dataValidation>
    <dataValidation type="list" allowBlank="1" showInputMessage="1" showErrorMessage="1" sqref="D6" xr:uid="{3608C142-E487-4477-AD13-CA1AEC61755F}">
      <formula1>Product</formula1>
    </dataValidation>
    <dataValidation type="list" allowBlank="1" showInputMessage="1" showErrorMessage="1" sqref="G6" xr:uid="{14EDAC6F-966E-44E8-994D-CB5AFD688B09}">
      <formula1>pack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Button 1">
              <controlPr defaultSize="0" print="0" autoFill="0" autoPict="0" macro="[0]!AddNewRowToTableStock">
                <anchor>
                  <from>
                    <xdr:col>1</xdr:col>
                    <xdr:colOff>104775</xdr:colOff>
                    <xdr:row>1</xdr:row>
                    <xdr:rowOff>76200</xdr:rowOff>
                  </from>
                  <to>
                    <xdr:col>3</xdr:col>
                    <xdr:colOff>47625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Button 2">
              <controlPr defaultSize="0" print="0" autoFill="0" autoPict="0" macro="[0]!DeleteLastRow">
                <anchor>
                  <from>
                    <xdr:col>3</xdr:col>
                    <xdr:colOff>257175</xdr:colOff>
                    <xdr:row>1</xdr:row>
                    <xdr:rowOff>76200</xdr:rowOff>
                  </from>
                  <to>
                    <xdr:col>4</xdr:col>
                    <xdr:colOff>123825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Button 3">
              <controlPr defaultSize="0" print="0" autoFill="0" autoPict="0" macro="[0]!ToggleSalesProductSheetVisibilityOne">
                <anchor>
                  <from>
                    <xdr:col>4</xdr:col>
                    <xdr:colOff>333375</xdr:colOff>
                    <xdr:row>1</xdr:row>
                    <xdr:rowOff>76200</xdr:rowOff>
                  </from>
                  <to>
                    <xdr:col>5</xdr:col>
                    <xdr:colOff>142875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6" name="Button 10">
              <controlPr defaultSize="0" print="0" autoFill="0" autoPict="0" macro="[0]!AutoAdjustColumnWidthsstockcost">
                <anchor>
                  <from>
                    <xdr:col>5</xdr:col>
                    <xdr:colOff>352425</xdr:colOff>
                    <xdr:row>1</xdr:row>
                    <xdr:rowOff>76200</xdr:rowOff>
                  </from>
                  <to>
                    <xdr:col>6</xdr:col>
                    <xdr:colOff>571500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tock Allocation" prompt="Please Enter Info into the Stock Allocation Section on the Overview Page_x000a__x000a_This will allow you to slect the correct stock Code" xr:uid="{91BD9BE7-20AB-4387-925C-75D79625947A}">
          <x14:formula1>
            <xm:f>Overview!$S$7:$S$16</xm:f>
          </x14:formula1>
          <xm:sqref>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FE3F-1B21-48B9-9070-AD9533A10838}">
  <sheetPr codeName="Sheet3"/>
  <dimension ref="B2:U27"/>
  <sheetViews>
    <sheetView showGridLines="0" workbookViewId="0">
      <selection activeCell="C5" sqref="C5:U5"/>
    </sheetView>
  </sheetViews>
  <sheetFormatPr defaultRowHeight="15" x14ac:dyDescent="0.25"/>
  <cols>
    <col min="1" max="2" width="1.7109375" customWidth="1"/>
    <col min="3" max="3" width="19.42578125" bestFit="1" customWidth="1"/>
    <col min="4" max="4" width="13.140625" bestFit="1" customWidth="1"/>
    <col min="5" max="5" width="19.85546875" bestFit="1" customWidth="1"/>
    <col min="6" max="6" width="18.28515625" bestFit="1" customWidth="1"/>
    <col min="7" max="7" width="10" bestFit="1" customWidth="1"/>
    <col min="8" max="8" width="13.28515625" bestFit="1" customWidth="1"/>
    <col min="9" max="9" width="19.7109375" bestFit="1" customWidth="1"/>
    <col min="10" max="10" width="14.140625" bestFit="1" customWidth="1"/>
    <col min="11" max="11" width="17.85546875" bestFit="1" customWidth="1"/>
    <col min="12" max="12" width="10" bestFit="1" customWidth="1"/>
    <col min="13" max="13" width="14.28515625" bestFit="1" customWidth="1"/>
    <col min="14" max="14" width="19.5703125" bestFit="1" customWidth="1"/>
    <col min="15" max="15" width="18.42578125" bestFit="1" customWidth="1"/>
    <col min="16" max="16" width="15.5703125" bestFit="1" customWidth="1"/>
    <col min="17" max="17" width="15" bestFit="1" customWidth="1"/>
    <col min="18" max="18" width="15.28515625" bestFit="1" customWidth="1"/>
    <col min="19" max="19" width="14.7109375" bestFit="1" customWidth="1"/>
    <col min="20" max="20" width="14.140625" bestFit="1" customWidth="1"/>
    <col min="21" max="21" width="13.5703125" bestFit="1" customWidth="1"/>
    <col min="22" max="22" width="10.140625" customWidth="1"/>
  </cols>
  <sheetData>
    <row r="2" spans="2:21" ht="15" customHeight="1" x14ac:dyDescent="0.25">
      <c r="B2" s="310" t="s">
        <v>34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</row>
    <row r="3" spans="2:21" ht="15" customHeight="1" x14ac:dyDescent="0.25"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</row>
    <row r="5" spans="2:21" x14ac:dyDescent="0.25">
      <c r="C5" s="27" t="s">
        <v>37</v>
      </c>
      <c r="D5" s="27" t="s">
        <v>75</v>
      </c>
      <c r="E5" s="27" t="s">
        <v>76</v>
      </c>
      <c r="F5" s="27" t="s">
        <v>77</v>
      </c>
      <c r="G5" s="27" t="s">
        <v>56</v>
      </c>
      <c r="H5" s="27" t="s">
        <v>12</v>
      </c>
      <c r="I5" s="27" t="s">
        <v>78</v>
      </c>
      <c r="J5" s="27" t="s">
        <v>79</v>
      </c>
      <c r="K5" s="27" t="s">
        <v>58</v>
      </c>
      <c r="L5" s="27" t="s">
        <v>73</v>
      </c>
      <c r="M5" s="27" t="s">
        <v>60</v>
      </c>
      <c r="N5" s="27" t="s">
        <v>31</v>
      </c>
      <c r="O5" s="27" t="s">
        <v>33</v>
      </c>
      <c r="P5" s="27" t="s">
        <v>62</v>
      </c>
      <c r="Q5" s="27" t="s">
        <v>63</v>
      </c>
      <c r="R5" s="27" t="s">
        <v>64</v>
      </c>
      <c r="S5" s="27" t="s">
        <v>65</v>
      </c>
      <c r="T5" s="27" t="s">
        <v>66</v>
      </c>
      <c r="U5" s="27" t="s">
        <v>67</v>
      </c>
    </row>
    <row r="6" spans="2:21" x14ac:dyDescent="0.25">
      <c r="C6" s="142" t="s">
        <v>1484</v>
      </c>
      <c r="D6" s="21" t="str">
        <f>IF(Overview!$D$6="","",Overview!$D$6)</f>
        <v>QUO10001</v>
      </c>
      <c r="E6" s="142" t="s">
        <v>1428</v>
      </c>
      <c r="F6" s="142" t="s">
        <v>1386</v>
      </c>
      <c r="G6" s="142" t="s">
        <v>68</v>
      </c>
      <c r="H6" s="143">
        <v>1000</v>
      </c>
      <c r="I6" s="144">
        <v>33</v>
      </c>
      <c r="J6" s="124">
        <f>IFERROR(ROUNDUP(transport_cost[[#This Row],[Quantity]]/transport_cost[[#This Row],[Quant Per Truck]],0),"")</f>
        <v>31</v>
      </c>
      <c r="K6" s="142" t="s">
        <v>8</v>
      </c>
      <c r="L6" s="145">
        <v>325</v>
      </c>
      <c r="M6" s="141">
        <f>IF(transport_cost[[#This Row],[Price]]="","",transport_cost[[#This Row],[Price]]*transport_cost[[#This Row],[Quantity]])</f>
        <v>325000</v>
      </c>
      <c r="N6" s="21" t="str">
        <f>IF(Overview!$D$17="","",Overview!$D$17)</f>
        <v>USD</v>
      </c>
      <c r="O6" s="22">
        <f>IF(Overview!$D$18="","",Overview!$D$18)</f>
        <v>20</v>
      </c>
      <c r="P6" s="23">
        <f>IF(transport_cost[[#This Row],[Price]]="","",
  IF(transport_cost[[#This Row],[Cost Currency]]="USD",
           transport_cost[[#This Row],[Price]],
           transport_cost[[#This Row],[Price]]/transport_cost[[#This Row],[Exchange Rate]]
)
 )</f>
        <v>325</v>
      </c>
      <c r="Q6" s="23">
        <f>IF(transport_cost[[#This Row],[Price]]="","",
  IF(transport_cost[[#This Row],[Cost Currency]]="USD",
           transport_cost[[#This Row],[Total Cost]],
           transport_cost[[#This Row],[Total Cost]]/transport_cost[[#This Row],[Exchange Rate]]
)
 )</f>
        <v>325000</v>
      </c>
      <c r="R6" s="22">
        <f>IF(transport_cost[[#This Row],[Price]]="","",
  IF(transport_cost[[#This Row],[Cost Currency]]="ZAR",
           transport_cost[[#This Row],[Price]],
         transport_cost[[#This Row],[Price]]*transport_cost[[#This Row],[Exchange Rate]]
)
 )</f>
        <v>6500</v>
      </c>
      <c r="S6" s="22">
        <f>IF(transport_cost[[#This Row],[Price]]="","",
  IF(transport_cost[[#This Row],[Cost Currency]]="ZAR",
           transport_cost[[#This Row],[Total Cost]],
           transport_cost[[#This Row],[Total Cost]]*transport_cost[[#This Row],[Exchange Rate]]
)
 )</f>
        <v>6500000</v>
      </c>
      <c r="T6" s="20">
        <f>IF(transport_cost[[#This Row],[Quote Currency]]="","",
  IF(transport_cost[[#This Row],[Quote Currency]]="USD",
  transport_cost[[#This Row],[Price (USD)]],
  transport_cost[[#This Row],[Price (ZAR)]]
))</f>
        <v>325</v>
      </c>
      <c r="U6" s="20">
        <f>IF(transport_cost[[#This Row],[Quote Currency]]="","",
  IF(transport_cost[[#This Row],[Quote Currency]]="USD",
  transport_cost[[#This Row],[Cost (USD)]],
  transport_cost[[#This Row],[Cost (ZAR)]]
))</f>
        <v>325000</v>
      </c>
    </row>
    <row r="8" spans="2:21" x14ac:dyDescent="0.25">
      <c r="C8" s="305" t="s">
        <v>72</v>
      </c>
      <c r="D8" s="306"/>
      <c r="E8" s="306"/>
      <c r="F8" s="306"/>
      <c r="G8" s="306"/>
      <c r="H8" s="306"/>
      <c r="I8" s="306"/>
      <c r="J8" s="306"/>
      <c r="K8" s="306"/>
      <c r="L8" s="306"/>
      <c r="M8" s="306"/>
    </row>
    <row r="9" spans="2:21" x14ac:dyDescent="0.25"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</row>
    <row r="10" spans="2:21" x14ac:dyDescent="0.25"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</row>
    <row r="11" spans="2:21" x14ac:dyDescent="0.25"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</row>
    <row r="12" spans="2:21" x14ac:dyDescent="0.25"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</row>
    <row r="13" spans="2:21" x14ac:dyDescent="0.25"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</row>
    <row r="14" spans="2:21" x14ac:dyDescent="0.25"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</row>
    <row r="17" spans="3:13" x14ac:dyDescent="0.25">
      <c r="C17" s="311" t="s">
        <v>81</v>
      </c>
      <c r="D17" s="311"/>
      <c r="E17" s="311"/>
      <c r="F17" s="311"/>
      <c r="G17" s="311"/>
      <c r="H17" s="311"/>
      <c r="I17" s="311"/>
      <c r="J17" s="311"/>
      <c r="K17" s="311"/>
      <c r="L17" s="311"/>
      <c r="M17" s="311"/>
    </row>
    <row r="18" spans="3:13" x14ac:dyDescent="0.25">
      <c r="C18" s="103" t="s">
        <v>82</v>
      </c>
      <c r="D18" s="103" t="s">
        <v>37</v>
      </c>
      <c r="E18" s="103" t="s">
        <v>73</v>
      </c>
      <c r="F18" s="315" t="s">
        <v>4</v>
      </c>
      <c r="G18" s="316"/>
      <c r="H18" s="316"/>
      <c r="I18" s="316"/>
      <c r="J18" s="316"/>
      <c r="K18" s="316"/>
      <c r="L18" s="316"/>
      <c r="M18" s="317"/>
    </row>
    <row r="19" spans="3:13" x14ac:dyDescent="0.25">
      <c r="C19" s="101">
        <v>1</v>
      </c>
      <c r="D19" s="146"/>
      <c r="E19" s="146"/>
      <c r="F19" s="312"/>
      <c r="G19" s="313"/>
      <c r="H19" s="313"/>
      <c r="I19" s="313"/>
      <c r="J19" s="313"/>
      <c r="K19" s="313"/>
      <c r="L19" s="313"/>
      <c r="M19" s="314"/>
    </row>
    <row r="20" spans="3:13" x14ac:dyDescent="0.25">
      <c r="C20" s="101">
        <v>2</v>
      </c>
      <c r="D20" s="146"/>
      <c r="E20" s="146"/>
      <c r="F20" s="312"/>
      <c r="G20" s="313"/>
      <c r="H20" s="313"/>
      <c r="I20" s="313"/>
      <c r="J20" s="313"/>
      <c r="K20" s="313"/>
      <c r="L20" s="313"/>
      <c r="M20" s="314"/>
    </row>
    <row r="21" spans="3:13" x14ac:dyDescent="0.25">
      <c r="C21" s="101">
        <v>3</v>
      </c>
      <c r="D21" s="146"/>
      <c r="E21" s="146"/>
      <c r="F21" s="312"/>
      <c r="G21" s="313"/>
      <c r="H21" s="313"/>
      <c r="I21" s="313"/>
      <c r="J21" s="313"/>
      <c r="K21" s="313"/>
      <c r="L21" s="313"/>
      <c r="M21" s="314"/>
    </row>
    <row r="22" spans="3:13" x14ac:dyDescent="0.25">
      <c r="C22" s="101">
        <v>4</v>
      </c>
      <c r="D22" s="146"/>
      <c r="E22" s="146"/>
      <c r="F22" s="312"/>
      <c r="G22" s="313"/>
      <c r="H22" s="313"/>
      <c r="I22" s="313"/>
      <c r="J22" s="313"/>
      <c r="K22" s="313"/>
      <c r="L22" s="313"/>
      <c r="M22" s="314"/>
    </row>
    <row r="23" spans="3:13" x14ac:dyDescent="0.25">
      <c r="C23" s="85">
        <v>5</v>
      </c>
      <c r="D23" s="147"/>
      <c r="E23" s="147"/>
      <c r="F23" s="312"/>
      <c r="G23" s="313"/>
      <c r="H23" s="313"/>
      <c r="I23" s="313"/>
      <c r="J23" s="313"/>
      <c r="K23" s="313"/>
      <c r="L23" s="313"/>
      <c r="M23" s="314"/>
    </row>
    <row r="24" spans="3:13" x14ac:dyDescent="0.25">
      <c r="C24" s="102"/>
    </row>
    <row r="27" spans="3:13" x14ac:dyDescent="0.25">
      <c r="C27" s="437" t="str" cm="1">
        <f t="array" ref="C27">CONCATENATE(transport_cost[Collection Point]," to ",transport_cost[Delivery Point])</f>
        <v>Durban Port to Kolwezi Cobalt Mine</v>
      </c>
    </row>
  </sheetData>
  <mergeCells count="15">
    <mergeCell ref="F23:M23"/>
    <mergeCell ref="F18:M18"/>
    <mergeCell ref="F19:M19"/>
    <mergeCell ref="F20:M20"/>
    <mergeCell ref="F21:M21"/>
    <mergeCell ref="F22:M22"/>
    <mergeCell ref="C13:M13"/>
    <mergeCell ref="C14:M14"/>
    <mergeCell ref="B2:U3"/>
    <mergeCell ref="C17:M17"/>
    <mergeCell ref="C8:M8"/>
    <mergeCell ref="C9:M9"/>
    <mergeCell ref="C10:M10"/>
    <mergeCell ref="C11:M11"/>
    <mergeCell ref="C12:M12"/>
  </mergeCells>
  <conditionalFormatting sqref="L6:M6">
    <cfRule type="expression" dxfId="16" priority="1">
      <formula>$K6="ZAR"</formula>
    </cfRule>
  </conditionalFormatting>
  <dataValidations count="5">
    <dataValidation type="list" allowBlank="1" showInputMessage="1" showErrorMessage="1" sqref="K6" xr:uid="{8DE5E764-3E0E-43B5-BED6-9481FE1196A5}">
      <formula1>currency</formula1>
    </dataValidation>
    <dataValidation type="list" allowBlank="1" showInputMessage="1" showErrorMessage="1" sqref="G6" xr:uid="{C613FC9A-B0C5-4B91-957D-357C9A2287DF}">
      <formula1>uom_list</formula1>
    </dataValidation>
    <dataValidation type="list" errorStyle="information" allowBlank="1" showInputMessage="1" showErrorMessage="1" errorTitle="Locations" error="If Location is not here please_x000a_enter new location" sqref="E6" xr:uid="{5D94D82E-B520-4FCE-B24F-27E525F657F9}">
      <formula1>Locations</formula1>
    </dataValidation>
    <dataValidation type="list" errorStyle="information" allowBlank="1" showInputMessage="1" showErrorMessage="1" error="If Location is not here please_x000a_enter new location" sqref="F6" xr:uid="{E2B19496-88E5-405D-B678-02F102671701}">
      <formula1>Locations</formula1>
    </dataValidation>
    <dataValidation type="list" allowBlank="1" showInputMessage="1" showErrorMessage="1" prompt="Please Enter Info into the Transport Allocation Section on the Overview Page_x000a__x000a_This will allow you to slect the correct Transporter" sqref="C6" xr:uid="{F6932B9F-ED90-488D-ACC9-2112875EA2F9}">
      <formula1>transp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Button 3">
              <controlPr defaultSize="0" print="0" autoFill="0" autoPict="0" macro="[0]!AddNewRowToTableTrans">
                <anchor>
                  <from>
                    <xdr:col>1</xdr:col>
                    <xdr:colOff>95250</xdr:colOff>
                    <xdr:row>1</xdr:row>
                    <xdr:rowOff>38100</xdr:rowOff>
                  </from>
                  <to>
                    <xdr:col>2</xdr:col>
                    <xdr:colOff>847725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4" name="Button 5">
              <controlPr defaultSize="0" print="0" autoFill="0" autoPict="0" macro="[0]!DeleteLastRowTrans">
                <anchor>
                  <from>
                    <xdr:col>2</xdr:col>
                    <xdr:colOff>1133475</xdr:colOff>
                    <xdr:row>1</xdr:row>
                    <xdr:rowOff>38100</xdr:rowOff>
                  </from>
                  <to>
                    <xdr:col>3</xdr:col>
                    <xdr:colOff>704850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Button 7">
              <controlPr defaultSize="0" print="0" autoFill="0" autoPict="0" macro="[0]!HideUnhideRows">
                <anchor moveWithCells="1">
                  <from>
                    <xdr:col>2</xdr:col>
                    <xdr:colOff>19050</xdr:colOff>
                    <xdr:row>14</xdr:row>
                    <xdr:rowOff>76200</xdr:rowOff>
                  </from>
                  <to>
                    <xdr:col>2</xdr:col>
                    <xdr:colOff>1171575</xdr:colOff>
                    <xdr:row>15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EEF5-54EF-4B42-B8B4-F1E8950FF378}">
  <sheetPr codeName="Sheet4"/>
  <dimension ref="B2:T17"/>
  <sheetViews>
    <sheetView showGridLines="0" workbookViewId="0">
      <selection activeCell="C5" sqref="C5:R5"/>
    </sheetView>
  </sheetViews>
  <sheetFormatPr defaultRowHeight="15" x14ac:dyDescent="0.25"/>
  <cols>
    <col min="1" max="2" width="1.7109375" customWidth="1"/>
    <col min="3" max="3" width="13.140625" bestFit="1" customWidth="1"/>
    <col min="4" max="4" width="16.140625" bestFit="1" customWidth="1"/>
    <col min="5" max="5" width="10" bestFit="1" customWidth="1"/>
    <col min="6" max="6" width="13.28515625" bestFit="1" customWidth="1"/>
    <col min="7" max="7" width="17.85546875" bestFit="1" customWidth="1"/>
    <col min="8" max="8" width="19.42578125" bestFit="1" customWidth="1"/>
    <col min="9" max="9" width="14.28515625" bestFit="1" customWidth="1"/>
    <col min="10" max="10" width="9.85546875" bestFit="1" customWidth="1"/>
    <col min="11" max="11" width="19.5703125" bestFit="1" customWidth="1"/>
    <col min="12" max="12" width="18.42578125" bestFit="1" customWidth="1"/>
    <col min="13" max="13" width="15.5703125" bestFit="1" customWidth="1"/>
    <col min="14" max="14" width="15" bestFit="1" customWidth="1"/>
    <col min="15" max="15" width="15.28515625" bestFit="1" customWidth="1"/>
    <col min="16" max="16" width="14.7109375" bestFit="1" customWidth="1"/>
    <col min="17" max="17" width="14.140625" bestFit="1" customWidth="1"/>
    <col min="18" max="18" width="13.5703125" bestFit="1" customWidth="1"/>
    <col min="19" max="19" width="11.42578125" customWidth="1"/>
    <col min="20" max="20" width="5.85546875" bestFit="1" customWidth="1"/>
  </cols>
  <sheetData>
    <row r="2" spans="2:20" ht="15" customHeight="1" x14ac:dyDescent="0.25">
      <c r="B2" s="321" t="s">
        <v>83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</row>
    <row r="3" spans="2:20" ht="15" customHeight="1" x14ac:dyDescent="0.25">
      <c r="B3" s="323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</row>
    <row r="4" spans="2:20" x14ac:dyDescent="0.25">
      <c r="T4" s="259">
        <f>SUM(ad_hoc_cost[Total Cost])</f>
        <v>25000</v>
      </c>
    </row>
    <row r="5" spans="2:20" ht="15" customHeight="1" x14ac:dyDescent="0.25">
      <c r="C5" s="24" t="s">
        <v>75</v>
      </c>
      <c r="D5" s="25" t="s">
        <v>84</v>
      </c>
      <c r="E5" s="25" t="s">
        <v>56</v>
      </c>
      <c r="F5" s="25" t="s">
        <v>12</v>
      </c>
      <c r="G5" s="25" t="s">
        <v>58</v>
      </c>
      <c r="H5" s="25" t="s">
        <v>59</v>
      </c>
      <c r="I5" s="25" t="s">
        <v>60</v>
      </c>
      <c r="J5" s="25" t="s">
        <v>61</v>
      </c>
      <c r="K5" s="25" t="s">
        <v>31</v>
      </c>
      <c r="L5" s="25" t="s">
        <v>33</v>
      </c>
      <c r="M5" s="25" t="s">
        <v>62</v>
      </c>
      <c r="N5" s="25" t="s">
        <v>63</v>
      </c>
      <c r="O5" s="25" t="s">
        <v>64</v>
      </c>
      <c r="P5" s="25" t="s">
        <v>65</v>
      </c>
      <c r="Q5" s="25" t="s">
        <v>66</v>
      </c>
      <c r="R5" s="26" t="s">
        <v>67</v>
      </c>
    </row>
    <row r="6" spans="2:20" ht="15" customHeight="1" x14ac:dyDescent="0.25">
      <c r="C6" s="400" t="str">
        <f>IF(Overview!$D$6="","",Overview!$D$6)</f>
        <v>QUO10001</v>
      </c>
      <c r="D6" s="401" t="s">
        <v>74</v>
      </c>
      <c r="E6" s="401" t="s">
        <v>68</v>
      </c>
      <c r="F6" s="402">
        <v>1000</v>
      </c>
      <c r="G6" s="401" t="s">
        <v>8</v>
      </c>
      <c r="H6" s="403">
        <v>25</v>
      </c>
      <c r="I6" s="404">
        <f>IF(ad_hoc_cost[[#This Row],[Price (VAT Excl)]]="","",ad_hoc_cost[[#This Row],[Price (VAT Excl)]]*ad_hoc_cost[[#This Row],[Quantity]])</f>
        <v>25000</v>
      </c>
      <c r="J6" s="405" t="str">
        <f>"Ad Hoc"</f>
        <v>Ad Hoc</v>
      </c>
      <c r="K6" s="405" t="str">
        <f>IF(Overview!$D$17="","",Overview!$D$17)</f>
        <v>USD</v>
      </c>
      <c r="L6" s="406">
        <f>IF(Overview!$D$18="","",Overview!$D$18)</f>
        <v>20</v>
      </c>
      <c r="M6" s="404">
        <f>IF(ad_hoc_cost[[#This Row],[Price (VAT Excl)]]="","",
  IF(ad_hoc_cost[[#This Row],[Cost Currency]]="USD",
           ad_hoc_cost[[#This Row],[Price (VAT Excl)]],
           ad_hoc_cost[[#This Row],[Price (VAT Excl)]]/ad_hoc_cost[[#This Row],[Exchange Rate]]
)
 )</f>
        <v>25</v>
      </c>
      <c r="N6" s="404">
        <f>IF(ad_hoc_cost[[#This Row],[Price (VAT Excl)]]="","",
  IF(ad_hoc_cost[[#This Row],[Cost Currency]]="USD",
           ad_hoc_cost[[#This Row],[Total Cost]],
           ad_hoc_cost[[#This Row],[Total Cost]]/ad_hoc_cost[[#This Row],[Exchange Rate]]
)
 )</f>
        <v>25000</v>
      </c>
      <c r="O6" s="406">
        <f>IF(ad_hoc_cost[[#This Row],[Price (VAT Excl)]]="","",
  IF(ad_hoc_cost[[#This Row],[Cost Currency]]="ZAR",
           ad_hoc_cost[[#This Row],[Price (VAT Excl)]],
           ad_hoc_cost[[#This Row],[Price (VAT Excl)]]*ad_hoc_cost[[#This Row],[Exchange Rate]]
)
 )</f>
        <v>500</v>
      </c>
      <c r="P6" s="406">
        <f>IF(ad_hoc_cost[[#This Row],[Price (VAT Excl)]]="","",
  IF(ad_hoc_cost[[#This Row],[Cost Currency]]="ZAR",
           ad_hoc_cost[[#This Row],[Total Cost]],
           ad_hoc_cost[[#This Row],[Total Cost]]*ad_hoc_cost[[#This Row],[Exchange Rate]]
)
 )</f>
        <v>500000</v>
      </c>
      <c r="Q6" s="407">
        <f>IF(ad_hoc_cost[[#This Row],[Quote Currency]]="","",
  IF(ad_hoc_cost[[#This Row],[Quote Currency]]="USD",
  ad_hoc_cost[[#This Row],[Price (USD)]],
  ad_hoc_cost[[#This Row],[Price (ZAR)]]
))</f>
        <v>25</v>
      </c>
      <c r="R6" s="408">
        <f>IF(ad_hoc_cost[[#This Row],[Quote Currency]]="","",
  IF(ad_hoc_cost[[#This Row],[Quote Currency]]="USD",
  ad_hoc_cost[[#This Row],[Cost (USD)]],
  ad_hoc_cost[[#This Row],[Cost (ZAR)]]
))</f>
        <v>25000</v>
      </c>
    </row>
    <row r="7" spans="2:20" ht="15" customHeight="1" x14ac:dyDescent="0.25"/>
    <row r="8" spans="2:20" x14ac:dyDescent="0.25">
      <c r="C8" s="311" t="s">
        <v>45</v>
      </c>
      <c r="D8" s="311"/>
      <c r="E8" s="311"/>
      <c r="F8" s="311"/>
      <c r="G8" s="311"/>
      <c r="H8" s="311"/>
      <c r="I8" s="311"/>
    </row>
    <row r="9" spans="2:20" x14ac:dyDescent="0.25">
      <c r="C9" s="318"/>
      <c r="D9" s="319"/>
      <c r="E9" s="319"/>
      <c r="F9" s="319"/>
      <c r="G9" s="319"/>
      <c r="H9" s="319"/>
      <c r="I9" s="320"/>
    </row>
    <row r="10" spans="2:20" x14ac:dyDescent="0.25">
      <c r="C10" s="318"/>
      <c r="D10" s="319"/>
      <c r="E10" s="319"/>
      <c r="F10" s="319"/>
      <c r="G10" s="319"/>
      <c r="H10" s="319"/>
      <c r="I10" s="320"/>
    </row>
    <row r="11" spans="2:20" x14ac:dyDescent="0.25">
      <c r="C11" s="318"/>
      <c r="D11" s="319"/>
      <c r="E11" s="319"/>
      <c r="F11" s="319"/>
      <c r="G11" s="319"/>
      <c r="H11" s="319"/>
      <c r="I11" s="320"/>
    </row>
    <row r="12" spans="2:20" x14ac:dyDescent="0.25">
      <c r="C12" s="318"/>
      <c r="D12" s="319"/>
      <c r="E12" s="319"/>
      <c r="F12" s="319"/>
      <c r="G12" s="319"/>
      <c r="H12" s="319"/>
      <c r="I12" s="320"/>
    </row>
    <row r="17" spans="4:4" x14ac:dyDescent="0.25">
      <c r="D17" s="428" cm="1">
        <f t="array" ref="D17">IFERROR(SUM(ad_hoc_cost[Total Cost])/stock_cost[Quantity],"")</f>
        <v>25</v>
      </c>
    </row>
  </sheetData>
  <sheetProtection algorithmName="SHA-512" hashValue="AuENgSw94KK7HpqipymPdUJ0AxAzIlBRw4QYrPLbL7YWNN6thar8wsfCiZsZF72XcKvFrpBsqWlp8hFCZm0JdA==" saltValue="MuJnR79r7+KH9OUL8MwGlg==" spinCount="100000" sheet="1" objects="1" scenarios="1"/>
  <mergeCells count="6">
    <mergeCell ref="C12:I12"/>
    <mergeCell ref="B2:S3"/>
    <mergeCell ref="C8:I8"/>
    <mergeCell ref="C9:I9"/>
    <mergeCell ref="C10:I10"/>
    <mergeCell ref="C11:I11"/>
  </mergeCells>
  <conditionalFormatting sqref="H6:I6">
    <cfRule type="expression" dxfId="15" priority="1">
      <formula>$G6="ZAR"</formula>
    </cfRule>
  </conditionalFormatting>
  <dataValidations count="3">
    <dataValidation type="list" allowBlank="1" showInputMessage="1" showErrorMessage="1" sqref="D6" xr:uid="{572A3FA8-1549-4019-B1BF-7EE0792BC77D}">
      <formula1>Ad_hoc_costs</formula1>
    </dataValidation>
    <dataValidation type="list" allowBlank="1" showInputMessage="1" showErrorMessage="1" sqref="E6" xr:uid="{D1023B0E-1184-4C0D-86EE-0EC4BFED4CE5}">
      <formula1>uom_list</formula1>
    </dataValidation>
    <dataValidation type="list" allowBlank="1" showInputMessage="1" showErrorMessage="1" sqref="G6" xr:uid="{6424921D-1AF8-453B-A31D-8295DA5CD121}">
      <formula1>currency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8" r:id="rId3" name="Button 4">
              <controlPr defaultSize="0" print="0" autoFill="0" autoPict="0" macro="[0]!AddNewRowToTableadhoc">
                <anchor>
                  <from>
                    <xdr:col>2</xdr:col>
                    <xdr:colOff>28575</xdr:colOff>
                    <xdr:row>1</xdr:row>
                    <xdr:rowOff>38100</xdr:rowOff>
                  </from>
                  <to>
                    <xdr:col>2</xdr:col>
                    <xdr:colOff>857250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4" name="Button 5">
              <controlPr defaultSize="0" print="0" autoFill="0" autoPict="0" macro="[0]!DeleteLastRowadhoc">
                <anchor>
                  <from>
                    <xdr:col>3</xdr:col>
                    <xdr:colOff>200025</xdr:colOff>
                    <xdr:row>1</xdr:row>
                    <xdr:rowOff>38100</xdr:rowOff>
                  </from>
                  <to>
                    <xdr:col>3</xdr:col>
                    <xdr:colOff>1028700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F167-1050-4120-B2F8-DE025CC6425C}">
  <sheetPr codeName="Sheet6"/>
  <dimension ref="B2:T29"/>
  <sheetViews>
    <sheetView showGridLines="0" topLeftCell="A4" workbookViewId="0">
      <selection activeCell="J7" sqref="J7"/>
    </sheetView>
  </sheetViews>
  <sheetFormatPr defaultRowHeight="15" x14ac:dyDescent="0.25"/>
  <cols>
    <col min="1" max="2" width="1.7109375" customWidth="1"/>
    <col min="3" max="3" width="20.7109375" bestFit="1" customWidth="1"/>
    <col min="4" max="4" width="1.7109375" customWidth="1"/>
    <col min="5" max="5" width="10.140625" bestFit="1" customWidth="1"/>
    <col min="6" max="6" width="1.7109375" customWidth="1"/>
    <col min="7" max="7" width="13.7109375" bestFit="1" customWidth="1"/>
    <col min="8" max="8" width="1.7109375" customWidth="1"/>
    <col min="9" max="9" width="9.42578125" bestFit="1" customWidth="1"/>
    <col min="10" max="10" width="16.42578125" bestFit="1" customWidth="1"/>
    <col min="11" max="11" width="7.42578125" bestFit="1" customWidth="1"/>
    <col min="12" max="12" width="11" bestFit="1" customWidth="1"/>
    <col min="13" max="13" width="16.28515625" bestFit="1" customWidth="1"/>
    <col min="14" max="14" width="12.7109375" bestFit="1" customWidth="1"/>
    <col min="15" max="15" width="10.5703125" bestFit="1" customWidth="1"/>
    <col min="16" max="16" width="7.7109375" bestFit="1" customWidth="1"/>
    <col min="17" max="17" width="15.7109375" bestFit="1" customWidth="1"/>
    <col min="18" max="18" width="12.7109375" bestFit="1" customWidth="1"/>
    <col min="19" max="19" width="12.42578125" bestFit="1" customWidth="1"/>
    <col min="20" max="20" width="1.7109375" customWidth="1"/>
  </cols>
  <sheetData>
    <row r="2" spans="2:20" x14ac:dyDescent="0.25">
      <c r="B2" s="325" t="str">
        <f>Overview!B2</f>
        <v>QUO10001 - Aurora Interiors - Calcium Sulphate (1000 MT)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</row>
    <row r="3" spans="2:20" x14ac:dyDescent="0.25"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</row>
    <row r="5" spans="2:20" x14ac:dyDescent="0.25">
      <c r="C5" s="19" t="s">
        <v>12</v>
      </c>
      <c r="E5" s="328">
        <f>IF(SUM(stock_cost[Quantity])=0,"",SUM(stock_cost[Quantity]))</f>
        <v>1000</v>
      </c>
      <c r="F5" s="328"/>
      <c r="G5" s="140"/>
    </row>
    <row r="6" spans="2:20" x14ac:dyDescent="0.25">
      <c r="E6" s="327" t="s">
        <v>56</v>
      </c>
      <c r="G6" s="326" t="s">
        <v>16</v>
      </c>
    </row>
    <row r="7" spans="2:20" x14ac:dyDescent="0.25">
      <c r="E7" s="326"/>
      <c r="G7" s="326"/>
      <c r="I7" s="90" t="s">
        <v>61</v>
      </c>
      <c r="J7" s="90" t="s">
        <v>11</v>
      </c>
      <c r="K7" s="90" t="s">
        <v>56</v>
      </c>
      <c r="L7" s="90" t="s">
        <v>12</v>
      </c>
      <c r="M7" s="90" t="s">
        <v>87</v>
      </c>
      <c r="N7" s="90" t="s">
        <v>88</v>
      </c>
      <c r="O7" s="90" t="s">
        <v>89</v>
      </c>
      <c r="P7" s="90" t="s">
        <v>90</v>
      </c>
      <c r="Q7" s="90" t="s">
        <v>91</v>
      </c>
      <c r="R7" s="90" t="s">
        <v>92</v>
      </c>
      <c r="S7" s="90" t="s">
        <v>93</v>
      </c>
    </row>
    <row r="8" spans="2:20" x14ac:dyDescent="0.25">
      <c r="C8" s="19" t="s">
        <v>88</v>
      </c>
      <c r="D8" s="67"/>
      <c r="E8" s="160">
        <v>950</v>
      </c>
      <c r="F8" s="69"/>
      <c r="G8" s="68">
        <f>IFERROR(E8*E5,0)</f>
        <v>950000</v>
      </c>
      <c r="I8" s="254" t="s">
        <v>11</v>
      </c>
      <c r="J8" s="254" t="s">
        <v>1275</v>
      </c>
      <c r="K8" s="254" t="s">
        <v>68</v>
      </c>
      <c r="L8" s="255">
        <v>1000</v>
      </c>
      <c r="M8" s="256">
        <v>500</v>
      </c>
      <c r="N8" s="257">
        <f>IF($E$8="","",IF(sales_tbl___One[[#This Row],[Type]]="Product",$E$8-SUM($E$13:$E$19),sales_tbl___One[[#This Row],[Purchase Price]]))</f>
        <v>600</v>
      </c>
      <c r="O8" s="257">
        <f>sales_tbl___One[[#This Row],[Sales Price]]-sales_tbl___One[[#This Row],[Purchase Price]]</f>
        <v>100</v>
      </c>
      <c r="P8" s="258">
        <f>sales_tbl___One[[#This Row],[GP Price]]/sales_tbl___One[[#This Row],[Sales Price]]</f>
        <v>0.16666666666666666</v>
      </c>
      <c r="Q8" s="256">
        <v>500000</v>
      </c>
      <c r="R8" s="257">
        <f>sales_tbl___One[[#This Row],[Sales Price]]*sales_tbl___One[[#This Row],[Quantity]]</f>
        <v>600000</v>
      </c>
      <c r="S8" s="257">
        <f>sales_tbl___One[[#This Row],[Sales Total]]-sales_tbl___One[[#This Row],[Purchase Cost]]</f>
        <v>100000</v>
      </c>
    </row>
    <row r="9" spans="2:20" x14ac:dyDescent="0.25">
      <c r="C9" s="18"/>
      <c r="D9" s="67"/>
      <c r="E9" s="69"/>
      <c r="F9" s="69"/>
      <c r="G9" s="69"/>
      <c r="I9" s="254" t="s">
        <v>94</v>
      </c>
      <c r="J9" s="254" t="s">
        <v>95</v>
      </c>
      <c r="K9" s="254" t="s">
        <v>68</v>
      </c>
      <c r="L9" s="255">
        <v>1000</v>
      </c>
      <c r="M9" s="256">
        <v>325</v>
      </c>
      <c r="N9" s="257">
        <f>IF($E$8="","",IF(sales_tbl___One[[#This Row],[Type]]="Product",$E$8-SUM($E$13:$E$19),sales_tbl___One[[#This Row],[Purchase Price]]))</f>
        <v>325</v>
      </c>
      <c r="O9" s="257">
        <f>sales_tbl___One[[#This Row],[Sales Price]]-sales_tbl___One[[#This Row],[Purchase Price]]</f>
        <v>0</v>
      </c>
      <c r="P9" s="258">
        <f>sales_tbl___One[[#This Row],[GP Price]]/sales_tbl___One[[#This Row],[Sales Price]]</f>
        <v>0</v>
      </c>
      <c r="Q9" s="256">
        <v>325000</v>
      </c>
      <c r="R9" s="257">
        <f>sales_tbl___One[[#This Row],[Sales Price]]*sales_tbl___One[[#This Row],[Quantity]]</f>
        <v>325000</v>
      </c>
      <c r="S9" s="257">
        <f>sales_tbl___One[[#This Row],[Sales Total]]-sales_tbl___One[[#This Row],[Purchase Cost]]</f>
        <v>0</v>
      </c>
    </row>
    <row r="10" spans="2:20" x14ac:dyDescent="0.25">
      <c r="C10" s="18" t="s">
        <v>22</v>
      </c>
      <c r="D10" s="70"/>
      <c r="E10" s="150">
        <f>IFERROR(G10/$E$5,0)</f>
        <v>850</v>
      </c>
      <c r="F10" s="69"/>
      <c r="G10" s="150">
        <f>SUM(G12:G19)</f>
        <v>850000</v>
      </c>
      <c r="I10" s="429" t="s">
        <v>1558</v>
      </c>
      <c r="J10" s="429" t="s">
        <v>74</v>
      </c>
      <c r="K10" s="429" t="s">
        <v>68</v>
      </c>
      <c r="L10" s="430">
        <v>1000</v>
      </c>
      <c r="M10" s="431">
        <v>25</v>
      </c>
      <c r="N10" s="432">
        <f>IF($E$8="","",IF(sales_tbl___One[[#This Row],[Type]]="Product",$E$8-SUM($E$13:$E$19),sales_tbl___One[[#This Row],[Purchase Price]]))</f>
        <v>25</v>
      </c>
      <c r="O10" s="432">
        <f>sales_tbl___One[[#This Row],[Sales Price]]-sales_tbl___One[[#This Row],[Purchase Price]]</f>
        <v>0</v>
      </c>
      <c r="P10" s="433">
        <f>sales_tbl___One[[#This Row],[GP Price]]/sales_tbl___One[[#This Row],[Sales Price]]</f>
        <v>0</v>
      </c>
      <c r="Q10" s="431">
        <v>25000</v>
      </c>
      <c r="R10" s="432">
        <f>sales_tbl___One[[#This Row],[Sales Price]]*sales_tbl___One[[#This Row],[Quantity]]</f>
        <v>25000</v>
      </c>
      <c r="S10" s="432">
        <f>sales_tbl___One[[#This Row],[Sales Total]]-sales_tbl___One[[#This Row],[Purchase Cost]]</f>
        <v>0</v>
      </c>
    </row>
    <row r="11" spans="2:20" x14ac:dyDescent="0.25">
      <c r="C11" s="71"/>
      <c r="D11" s="70"/>
      <c r="E11" s="72"/>
      <c r="F11" s="69"/>
      <c r="G11" s="72"/>
      <c r="I11" s="152"/>
      <c r="J11" s="152"/>
      <c r="K11" s="152"/>
      <c r="L11" s="153">
        <f>SUBTOTAL(101,sales_tbl___One[Quantity])</f>
        <v>1000</v>
      </c>
      <c r="M11" s="154">
        <f>SUBTOTAL(109,sales_tbl___One[Purchase Price])</f>
        <v>850</v>
      </c>
      <c r="N11" s="154">
        <f>SUBTOTAL(109,sales_tbl___One[Sales Price])</f>
        <v>950</v>
      </c>
      <c r="O11" s="154">
        <f>SUBTOTAL(109,sales_tbl___One[GP Price])</f>
        <v>100</v>
      </c>
      <c r="P11" s="155"/>
      <c r="Q11" s="154">
        <f>SUBTOTAL(109,sales_tbl___One[Purchase Cost])</f>
        <v>850000</v>
      </c>
      <c r="R11" s="154">
        <f>SUBTOTAL(109,sales_tbl___One[Sales Total])</f>
        <v>950000</v>
      </c>
      <c r="S11" s="154">
        <f>SUBTOTAL(109,sales_tbl___One[GP Total])</f>
        <v>100000</v>
      </c>
    </row>
    <row r="12" spans="2:20" x14ac:dyDescent="0.25">
      <c r="C12" s="73" t="s">
        <v>70</v>
      </c>
      <c r="D12" s="70"/>
      <c r="E12" s="74">
        <f t="shared" ref="E12:E19" si="0">IFERROR(G12/$E$5,0)</f>
        <v>500</v>
      </c>
      <c r="F12" s="69"/>
      <c r="G12" s="74">
        <f>SUMIF(sales_tbl___One[Type],"Product",sales_tbl___One[Purchase Cost])</f>
        <v>500000</v>
      </c>
    </row>
    <row r="13" spans="2:20" x14ac:dyDescent="0.25">
      <c r="C13" s="73" t="s">
        <v>94</v>
      </c>
      <c r="D13" s="70"/>
      <c r="E13" s="74">
        <f t="shared" si="0"/>
        <v>325</v>
      </c>
      <c r="F13" s="69"/>
      <c r="G13" s="74">
        <f>SUMIF(sales_tbl___One[Product],"Transport Cost",sales_tbl___One[Purchase Cost])</f>
        <v>325000</v>
      </c>
    </row>
    <row r="14" spans="2:20" x14ac:dyDescent="0.25">
      <c r="C14" s="75" t="s">
        <v>85</v>
      </c>
      <c r="D14" s="70"/>
      <c r="E14" s="74">
        <f t="shared" si="0"/>
        <v>0</v>
      </c>
      <c r="F14" s="69"/>
      <c r="G14" s="74">
        <f>SUMIF(sales_tbl___One[Product],C14,sales_tbl___One[Purchase Cost])</f>
        <v>0</v>
      </c>
    </row>
    <row r="15" spans="2:20" x14ac:dyDescent="0.25">
      <c r="C15" s="75" t="s">
        <v>86</v>
      </c>
      <c r="D15" s="70"/>
      <c r="E15" s="74">
        <f t="shared" si="0"/>
        <v>0</v>
      </c>
      <c r="F15" s="69"/>
      <c r="G15" s="74">
        <f>SUMIF(sales_tbl___One[Product],C15,sales_tbl___One[Purchase Cost])</f>
        <v>0</v>
      </c>
    </row>
    <row r="16" spans="2:20" x14ac:dyDescent="0.25">
      <c r="C16" s="73" t="s">
        <v>55</v>
      </c>
      <c r="D16" s="70"/>
      <c r="E16" s="74">
        <f t="shared" si="0"/>
        <v>0</v>
      </c>
      <c r="F16" s="69"/>
      <c r="G16" s="74">
        <f>SUMIF(sales_tbl___One[Product],C16,sales_tbl___One[Purchase Cost])</f>
        <v>0</v>
      </c>
    </row>
    <row r="17" spans="3:7" x14ac:dyDescent="0.25">
      <c r="C17" s="73" t="s">
        <v>96</v>
      </c>
      <c r="D17" s="70"/>
      <c r="E17" s="74">
        <f t="shared" si="0"/>
        <v>0</v>
      </c>
      <c r="F17" s="69"/>
      <c r="G17" s="74">
        <f>SUMIF(sales_tbl___One[Product],C17,sales_tbl___One[Purchase Cost])</f>
        <v>0</v>
      </c>
    </row>
    <row r="18" spans="3:7" x14ac:dyDescent="0.25">
      <c r="C18" s="73" t="s">
        <v>74</v>
      </c>
      <c r="D18" s="70"/>
      <c r="E18" s="74">
        <f t="shared" si="0"/>
        <v>25</v>
      </c>
      <c r="F18" s="69"/>
      <c r="G18" s="74">
        <f>SUMIF(sales_tbl___One[Product],C18,sales_tbl___One[Purchase Cost])</f>
        <v>25000</v>
      </c>
    </row>
    <row r="19" spans="3:7" x14ac:dyDescent="0.25">
      <c r="C19" s="76" t="s">
        <v>97</v>
      </c>
      <c r="D19" s="70"/>
      <c r="E19" s="74">
        <f t="shared" si="0"/>
        <v>0</v>
      </c>
      <c r="F19" s="69"/>
      <c r="G19" s="74">
        <f>SUMIF(sales_tbl___One[Product],C19,sales_tbl___One[Purchase Cost])</f>
        <v>0</v>
      </c>
    </row>
    <row r="20" spans="3:7" x14ac:dyDescent="0.25">
      <c r="C20" s="71"/>
      <c r="D20" s="70"/>
      <c r="E20" s="72"/>
      <c r="F20" s="69"/>
      <c r="G20" s="72"/>
    </row>
    <row r="21" spans="3:7" x14ac:dyDescent="0.25">
      <c r="C21" s="77" t="s">
        <v>26</v>
      </c>
      <c r="D21" s="67"/>
      <c r="E21" s="68">
        <f>IFERROR(G21/$E$5,0)</f>
        <v>100</v>
      </c>
      <c r="F21" s="69"/>
      <c r="G21" s="68">
        <f>G8-G10</f>
        <v>100000</v>
      </c>
    </row>
    <row r="22" spans="3:7" x14ac:dyDescent="0.25">
      <c r="C22" s="78"/>
      <c r="D22" s="67"/>
      <c r="E22" s="69"/>
      <c r="F22" s="69"/>
      <c r="G22" s="69"/>
    </row>
    <row r="23" spans="3:7" x14ac:dyDescent="0.25">
      <c r="C23" s="75" t="s">
        <v>29</v>
      </c>
      <c r="D23" s="67"/>
      <c r="E23" s="74">
        <f>IFERROR(G23/$E$5,0)</f>
        <v>7.6442307692307709</v>
      </c>
      <c r="F23" s="69"/>
      <c r="G23" s="74">
        <f>'Cash Flow'!F65*-1</f>
        <v>7644.2307692307713</v>
      </c>
    </row>
    <row r="24" spans="3:7" x14ac:dyDescent="0.25">
      <c r="C24" s="76"/>
      <c r="D24" s="67"/>
      <c r="E24" s="79"/>
      <c r="F24" s="69"/>
      <c r="G24" s="79"/>
    </row>
    <row r="25" spans="3:7" x14ac:dyDescent="0.25">
      <c r="C25" s="19" t="s">
        <v>98</v>
      </c>
      <c r="D25" s="67"/>
      <c r="E25" s="68">
        <f>IFERROR(G25/$E$5,0)</f>
        <v>92.355769230769241</v>
      </c>
      <c r="F25" s="69"/>
      <c r="G25" s="68">
        <f>G21-G23</f>
        <v>92355.769230769234</v>
      </c>
    </row>
    <row r="26" spans="3:7" x14ac:dyDescent="0.25">
      <c r="C26" s="28"/>
      <c r="D26" s="28"/>
      <c r="E26" s="28"/>
      <c r="F26" s="28"/>
      <c r="G26" s="28"/>
    </row>
    <row r="27" spans="3:7" ht="16.5" thickBot="1" x14ac:dyDescent="0.3">
      <c r="C27" s="80" t="s">
        <v>36</v>
      </c>
      <c r="D27" s="28"/>
      <c r="E27" s="81">
        <f>IFERROR(G21/G8,"")</f>
        <v>0.10526315789473684</v>
      </c>
      <c r="F27" s="28"/>
      <c r="G27" s="28"/>
    </row>
    <row r="28" spans="3:7" ht="17.25" thickTop="1" thickBot="1" x14ac:dyDescent="0.3">
      <c r="C28" s="80" t="s">
        <v>99</v>
      </c>
      <c r="D28" s="28"/>
      <c r="E28" s="81">
        <f>IFERROR(G25/G8,"")</f>
        <v>9.7216599190283401E-2</v>
      </c>
      <c r="F28" s="28"/>
      <c r="G28" s="82"/>
    </row>
    <row r="29" spans="3:7" ht="15.75" thickTop="1" x14ac:dyDescent="0.25"/>
  </sheetData>
  <mergeCells count="4">
    <mergeCell ref="B2:T3"/>
    <mergeCell ref="G6:G7"/>
    <mergeCell ref="E6:E7"/>
    <mergeCell ref="E5:F5"/>
  </mergeCells>
  <phoneticPr fontId="28" type="noConversion"/>
  <conditionalFormatting sqref="I8:S10">
    <cfRule type="expression" dxfId="14" priority="4">
      <formula>$I8="Ad Hoc"</formula>
    </cfRule>
    <cfRule type="expression" dxfId="13" priority="5">
      <formula>$I8="Transport"</formula>
    </cfRule>
    <cfRule type="expression" dxfId="12" priority="6">
      <formula>$I8="Product"</formula>
    </cfRule>
  </conditionalFormatting>
  <dataValidations count="1">
    <dataValidation type="decimal" operator="greaterThan" allowBlank="1" showInputMessage="1" showErrorMessage="1" promptTitle="Selling Price" prompt="Enter the Total Selling Price fotthe Deal Here" sqref="E8" xr:uid="{6688FD42-01D8-445C-8769-23B1F3ED38E2}">
      <formula1>0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72" r:id="rId4" name="Button 8">
              <controlPr defaultSize="0" print="0" autoFill="0" autoPict="0" macro="[0]!RefreshAndLockAllSheets">
                <anchor moveWithCells="1">
                  <from>
                    <xdr:col>7</xdr:col>
                    <xdr:colOff>95250</xdr:colOff>
                    <xdr:row>3</xdr:row>
                    <xdr:rowOff>85725</xdr:rowOff>
                  </from>
                  <to>
                    <xdr:col>9</xdr:col>
                    <xdr:colOff>276225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5" name="Button 9">
              <controlPr defaultSize="0" print="0" autoFill="0" autoPict="0" macro="[0]!ToggleCashFlowVis">
                <anchor moveWithCells="1">
                  <from>
                    <xdr:col>9</xdr:col>
                    <xdr:colOff>542925</xdr:colOff>
                    <xdr:row>3</xdr:row>
                    <xdr:rowOff>76200</xdr:rowOff>
                  </from>
                  <to>
                    <xdr:col>10</xdr:col>
                    <xdr:colOff>295275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6" name="Button 10">
              <controlPr defaultSize="0" print="0" autoFill="0" autoPict="0" macro="[0]!UnhideAndGoToSheetsglprod">
                <anchor moveWithCells="1">
                  <from>
                    <xdr:col>20</xdr:col>
                    <xdr:colOff>161925</xdr:colOff>
                    <xdr:row>6</xdr:row>
                    <xdr:rowOff>171450</xdr:rowOff>
                  </from>
                  <to>
                    <xdr:col>22</xdr:col>
                    <xdr:colOff>209550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7" name="Button 13">
              <controlPr defaultSize="0" print="0" autoFill="0" autoPict="0" macro="[0]!AutoAdjustColumnWidths">
                <anchor moveWithCells="1">
                  <from>
                    <xdr:col>1</xdr:col>
                    <xdr:colOff>85725</xdr:colOff>
                    <xdr:row>1</xdr:row>
                    <xdr:rowOff>38100</xdr:rowOff>
                  </from>
                  <to>
                    <xdr:col>2</xdr:col>
                    <xdr:colOff>942975</xdr:colOff>
                    <xdr:row>2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6CA3FDAC-8829-444A-96E7-EAB100D00846}">
            <xm:f>Overview!$D$18="ZAR"</xm:f>
            <x14:dxf>
              <numFmt numFmtId="34" formatCode="_-&quot;R&quot;* #,##0.00_-;\-&quot;R&quot;* #,##0.00_-;_-&quot;R&quot;* &quot;-&quot;??_-;_-@_-"/>
            </x14:dxf>
          </x14:cfRule>
          <xm:sqref>M8:O10 Q8:S10</xm:sqref>
        </x14:conditionalFormatting>
        <x14:conditionalFormatting xmlns:xm="http://schemas.microsoft.com/office/excel/2006/main">
          <x14:cfRule type="expression" priority="3" id="{FB3D764E-9963-4416-8C22-310C00A341D4}">
            <xm:f>Overview!$D$17="ZAR"</xm:f>
            <x14:dxf>
              <numFmt numFmtId="34" formatCode="_-&quot;R&quot;* #,##0.00_-;\-&quot;R&quot;* #,##0.00_-;_-&quot;R&quot;* &quot;-&quot;??_-;_-@_-"/>
            </x14:dxf>
          </x14:cfRule>
          <xm:sqref>G8 E10 G10 E12:E19 G12:G19 E21 G21 E23 G23 G25 E25 M8:O11 Q8:S11</xm:sqref>
        </x14:conditionalFormatting>
        <x14:conditionalFormatting xmlns:xm="http://schemas.microsoft.com/office/excel/2006/main">
          <x14:cfRule type="expression" priority="2" id="{2A1EA434-D2D1-4215-8C62-86CED53AA800}">
            <xm:f>Overview!$D$17="ZAR"</xm:f>
            <x14:dxf>
              <numFmt numFmtId="34" formatCode="_-&quot;R&quot;* #,##0.00_-;\-&quot;R&quot;* #,##0.00_-;_-&quot;R&quot;* &quot;-&quot;??_-;_-@_-"/>
            </x14:dxf>
          </x14:cfRule>
          <xm:sqref>E8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6C8F-6EA8-4D74-861D-75F470BC4137}">
  <sheetPr codeName="Sheet7"/>
  <dimension ref="B2:BJ78"/>
  <sheetViews>
    <sheetView showGridLines="0" tabSelected="1" zoomScaleNormal="100" workbookViewId="0">
      <selection activeCell="H16" sqref="H16:AH16"/>
    </sheetView>
  </sheetViews>
  <sheetFormatPr defaultColWidth="11" defaultRowHeight="15.75" customHeight="1" x14ac:dyDescent="0.25"/>
  <cols>
    <col min="1" max="3" width="1.7109375" customWidth="1"/>
    <col min="4" max="4" width="19.85546875" bestFit="1" customWidth="1"/>
    <col min="5" max="5" width="1.7109375" customWidth="1"/>
    <col min="6" max="6" width="14.42578125" bestFit="1" customWidth="1"/>
    <col min="7" max="7" width="1.7109375" customWidth="1"/>
    <col min="8" max="8" width="15.28515625" bestFit="1" customWidth="1"/>
    <col min="9" max="10" width="14.42578125" bestFit="1" customWidth="1"/>
    <col min="11" max="11" width="15" bestFit="1" customWidth="1"/>
    <col min="12" max="12" width="14.42578125" bestFit="1" customWidth="1"/>
    <col min="13" max="13" width="17" bestFit="1" customWidth="1"/>
    <col min="14" max="14" width="15.42578125" bestFit="1" customWidth="1"/>
    <col min="15" max="17" width="17" bestFit="1" customWidth="1"/>
    <col min="18" max="18" width="16.7109375" bestFit="1" customWidth="1"/>
    <col min="19" max="19" width="17.7109375" bestFit="1" customWidth="1"/>
    <col min="20" max="21" width="20.140625" bestFit="1" customWidth="1"/>
    <col min="22" max="22" width="20" bestFit="1" customWidth="1"/>
    <col min="23" max="23" width="21.85546875" bestFit="1" customWidth="1"/>
    <col min="24" max="24" width="18.85546875" bestFit="1" customWidth="1"/>
    <col min="25" max="25" width="19.7109375" bestFit="1" customWidth="1"/>
    <col min="26" max="26" width="21" bestFit="1" customWidth="1"/>
    <col min="27" max="27" width="18" bestFit="1" customWidth="1"/>
    <col min="28" max="28" width="18.42578125" bestFit="1" customWidth="1"/>
    <col min="29" max="29" width="17.42578125" bestFit="1" customWidth="1"/>
    <col min="30" max="30" width="17.85546875" bestFit="1" customWidth="1"/>
    <col min="31" max="31" width="18.5703125" bestFit="1" customWidth="1"/>
    <col min="32" max="32" width="17" bestFit="1" customWidth="1"/>
    <col min="33" max="33" width="16.7109375" bestFit="1" customWidth="1"/>
    <col min="34" max="34" width="17.7109375" bestFit="1" customWidth="1"/>
    <col min="35" max="35" width="16" bestFit="1" customWidth="1"/>
    <col min="36" max="36" width="17.85546875" bestFit="1" customWidth="1"/>
    <col min="37" max="37" width="18.140625" bestFit="1" customWidth="1"/>
    <col min="38" max="38" width="16.42578125" bestFit="1" customWidth="1"/>
    <col min="39" max="39" width="18.28515625" bestFit="1" customWidth="1"/>
    <col min="40" max="40" width="18.7109375" bestFit="1" customWidth="1"/>
    <col min="41" max="41" width="17" bestFit="1" customWidth="1"/>
    <col min="42" max="42" width="18" bestFit="1" customWidth="1"/>
    <col min="43" max="43" width="14.42578125" bestFit="1" customWidth="1"/>
    <col min="44" max="44" width="16.7109375" bestFit="1" customWidth="1"/>
    <col min="45" max="45" width="17.7109375" bestFit="1" customWidth="1"/>
    <col min="46" max="46" width="16.5703125" bestFit="1" customWidth="1"/>
    <col min="47" max="47" width="17.42578125" bestFit="1" customWidth="1"/>
    <col min="48" max="48" width="16.28515625" bestFit="1" customWidth="1"/>
    <col min="49" max="49" width="17.140625" bestFit="1" customWidth="1"/>
    <col min="50" max="50" width="17.28515625" bestFit="1" customWidth="1"/>
    <col min="51" max="51" width="18.28515625" bestFit="1" customWidth="1"/>
    <col min="52" max="52" width="14.42578125" bestFit="1" customWidth="1"/>
    <col min="53" max="53" width="16.140625" bestFit="1" customWidth="1"/>
    <col min="54" max="54" width="17" bestFit="1" customWidth="1"/>
    <col min="55" max="55" width="16" bestFit="1" customWidth="1"/>
    <col min="56" max="56" width="16.85546875" bestFit="1" customWidth="1"/>
    <col min="57" max="57" width="15.7109375" bestFit="1" customWidth="1"/>
    <col min="58" max="58" width="16.5703125" bestFit="1" customWidth="1"/>
    <col min="59" max="59" width="16.7109375" bestFit="1" customWidth="1"/>
    <col min="60" max="60" width="17.7109375" bestFit="1" customWidth="1"/>
  </cols>
  <sheetData>
    <row r="2" spans="2:62" ht="15.75" customHeight="1" x14ac:dyDescent="0.25">
      <c r="B2" s="409" t="s">
        <v>100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1"/>
    </row>
    <row r="3" spans="2:62" ht="15.75" customHeight="1" x14ac:dyDescent="0.25"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3"/>
    </row>
    <row r="4" spans="2:62" ht="15.75" customHeight="1" x14ac:dyDescent="0.25"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</row>
    <row r="5" spans="2:62" ht="15.75" customHeight="1" x14ac:dyDescent="0.25">
      <c r="B5" s="329" t="s">
        <v>101</v>
      </c>
      <c r="C5" s="330"/>
      <c r="D5" s="330"/>
      <c r="E5" s="330"/>
      <c r="F5" s="331"/>
      <c r="G5" s="28"/>
      <c r="H5" s="122" t="s">
        <v>75</v>
      </c>
      <c r="I5" s="122" t="s">
        <v>56</v>
      </c>
      <c r="J5" s="122" t="s">
        <v>12</v>
      </c>
      <c r="K5" s="122" t="s">
        <v>88</v>
      </c>
      <c r="L5" s="122" t="s">
        <v>102</v>
      </c>
      <c r="M5" s="122" t="s">
        <v>103</v>
      </c>
      <c r="N5" s="122" t="s">
        <v>104</v>
      </c>
      <c r="O5" s="122" t="s">
        <v>105</v>
      </c>
      <c r="P5" s="122" t="s">
        <v>106</v>
      </c>
      <c r="Q5" s="122" t="s">
        <v>107</v>
      </c>
      <c r="R5" s="122" t="s">
        <v>108</v>
      </c>
      <c r="S5" s="122" t="s">
        <v>109</v>
      </c>
      <c r="T5" s="122" t="s">
        <v>110</v>
      </c>
      <c r="U5" s="122" t="s">
        <v>111</v>
      </c>
      <c r="V5" s="122" t="s">
        <v>112</v>
      </c>
      <c r="W5" s="122" t="s">
        <v>113</v>
      </c>
      <c r="X5" s="122" t="s">
        <v>114</v>
      </c>
      <c r="Y5" s="122" t="s">
        <v>115</v>
      </c>
      <c r="Z5" s="122" t="s">
        <v>116</v>
      </c>
      <c r="AA5" s="122" t="s">
        <v>117</v>
      </c>
      <c r="AB5" s="122" t="s">
        <v>118</v>
      </c>
      <c r="AC5" s="122" t="s">
        <v>119</v>
      </c>
      <c r="AD5" s="122" t="s">
        <v>120</v>
      </c>
      <c r="AE5" s="122" t="s">
        <v>121</v>
      </c>
      <c r="AF5" s="122" t="s">
        <v>122</v>
      </c>
      <c r="AG5" s="122" t="s">
        <v>123</v>
      </c>
      <c r="AH5" s="122" t="s">
        <v>124</v>
      </c>
      <c r="AI5" s="122" t="s">
        <v>125</v>
      </c>
      <c r="AJ5" s="122" t="s">
        <v>126</v>
      </c>
      <c r="AK5" s="122" t="s">
        <v>127</v>
      </c>
      <c r="AL5" s="122" t="s">
        <v>128</v>
      </c>
      <c r="AM5" s="122" t="s">
        <v>129</v>
      </c>
      <c r="AN5" s="122" t="s">
        <v>130</v>
      </c>
      <c r="AO5" s="122" t="s">
        <v>131</v>
      </c>
      <c r="AP5" s="122" t="s">
        <v>132</v>
      </c>
      <c r="AQ5" s="122" t="s">
        <v>133</v>
      </c>
      <c r="AR5" s="122" t="s">
        <v>134</v>
      </c>
      <c r="AS5" s="122" t="s">
        <v>135</v>
      </c>
      <c r="AT5" s="122" t="s">
        <v>136</v>
      </c>
      <c r="AU5" s="122" t="s">
        <v>137</v>
      </c>
      <c r="AV5" s="122" t="s">
        <v>138</v>
      </c>
      <c r="AW5" s="122" t="s">
        <v>139</v>
      </c>
      <c r="AX5" s="122" t="s">
        <v>140</v>
      </c>
      <c r="AY5" s="122" t="s">
        <v>141</v>
      </c>
      <c r="AZ5" s="122" t="s">
        <v>142</v>
      </c>
      <c r="BA5" s="122" t="s">
        <v>143</v>
      </c>
      <c r="BB5" s="122" t="s">
        <v>144</v>
      </c>
      <c r="BC5" s="122" t="s">
        <v>145</v>
      </c>
      <c r="BD5" s="122" t="s">
        <v>146</v>
      </c>
      <c r="BE5" s="122" t="s">
        <v>147</v>
      </c>
      <c r="BF5" s="122" t="s">
        <v>148</v>
      </c>
      <c r="BG5" s="122" t="s">
        <v>149</v>
      </c>
      <c r="BH5" s="122" t="s">
        <v>150</v>
      </c>
      <c r="BI5" s="111"/>
      <c r="BJ5" s="111"/>
    </row>
    <row r="6" spans="2:62" ht="15.75" customHeight="1" x14ac:dyDescent="0.25">
      <c r="B6" s="332"/>
      <c r="C6" s="333"/>
      <c r="D6" s="333"/>
      <c r="E6" s="333"/>
      <c r="F6" s="334"/>
      <c r="G6" s="112"/>
      <c r="H6" s="134" t="s">
        <v>1060</v>
      </c>
      <c r="I6" s="134" t="s">
        <v>68</v>
      </c>
      <c r="J6" s="135">
        <v>1000</v>
      </c>
      <c r="K6" s="138">
        <v>1000</v>
      </c>
      <c r="L6" s="137">
        <v>0.25</v>
      </c>
      <c r="M6" s="133">
        <v>46054</v>
      </c>
      <c r="N6" s="133">
        <v>46082</v>
      </c>
      <c r="O6" s="139">
        <v>28</v>
      </c>
      <c r="P6" s="139">
        <v>14</v>
      </c>
      <c r="Q6" s="139">
        <v>15</v>
      </c>
      <c r="R6" s="125">
        <f>IF(cf_sales[[#This Row],[Deposit%]]&lt;&gt;"",1-cf_sales[[#This Row],[Deposit%]],"")</f>
        <v>0.75</v>
      </c>
      <c r="S6" s="128">
        <f>IF(cf_sales[[#This Row],[Sales Price]]&lt;&gt;"",cf_sales[[#This Row],[Quantity]]*cf_sales[[#This Row],[Sales Price]],"")</f>
        <v>1000000</v>
      </c>
      <c r="T6" s="129">
        <f>IF(cf_sales[[#This Row],[Sales Price]]&lt;&gt;"",cf_sales[[#This Row],[Quantity]]*cf_sales[[#This Row],[Sales Price]]*cf_sales[[#This Row],[Balance%]],"")</f>
        <v>750000</v>
      </c>
      <c r="U6" s="129">
        <f>IF(cf_sales[[#This Row],[Deposit%]]&lt;&gt;0,cf_sales[[#This Row],[Total Amount]]*cf_sales[[#This Row],[Deposit%]],"")</f>
        <v>250000</v>
      </c>
      <c r="V6" s="129">
        <f>IF(cf_sales[[#This Row],[Travel (Days)]]="","",30)</f>
        <v>30</v>
      </c>
      <c r="W6" s="129">
        <f>IF(cf_sales[[#This Row],[Transport Terms]]="","",(_xlfn.XLOOKUP(cf_sales[[#This Row],[Deal No.]],transport_cost[Deal No.],transport_cost[Price],"",0,1))*cf_sales[[#This Row],[Quantity]])</f>
        <v>325000</v>
      </c>
      <c r="X6" s="129">
        <f>IFERROR(IF('Ad Hoc Cost'!$T$4=0,"",'Ad Hoc Cost'!$D$17*cf_sales[[#This Row],[Quantity]]),"")</f>
        <v>25000</v>
      </c>
      <c r="Y6" s="130">
        <f>IF(cf_sales[[#This Row],[Uplift (Days)]]&lt;&gt;"",ROUNDUP(cf_sales[[#This Row],[Uplift (Days)]]/7,0),"")</f>
        <v>4</v>
      </c>
      <c r="Z6" s="130">
        <f>IF(cf_sales[[#This Row],[Uplift (Days)]]&lt;&gt;"",ROUNDUP(cf_sales[[#This Row],[Uplift (Days)]]/7,0),"")</f>
        <v>4</v>
      </c>
      <c r="AA6" s="130">
        <f>IF(cf_sales[[#This Row],[Uplift (Days)]]&lt;&gt;"",ROUNDUP(cf_sales[[#This Row],[Uplift (Days)]]/7,0),"")</f>
        <v>4</v>
      </c>
      <c r="AB6" s="124">
        <f>IF(cf_sales[[#This Row],[Quantity]]&lt;&gt;"",cf_sales[[#This Row],[Quantity]]/cf_sales[[#This Row],[Weeks to Uplift]],"")</f>
        <v>250</v>
      </c>
      <c r="AC6" s="129">
        <f>IF(cf_sales[[#This Row],[Sales Price]]&lt;&gt;"",cf_sales[[#This Row],[Balance Amount]]/cf_sales[[#This Row],[Weeks to Uplift]],"")</f>
        <v>187500</v>
      </c>
      <c r="AD6" s="129">
        <f>IF(cf_sales[[#This Row],[Transport Amount]]&lt;&gt;"",cf_sales[[#This Row],[Transport Amount]]/cf_sales[[#This Row],[Weeks to Uplift]],"")</f>
        <v>81250</v>
      </c>
      <c r="AE6" s="129">
        <f>IF(cf_sales[[#This Row],[Adhoc Amount]]&lt;&gt;"",cf_sales[[#This Row],[Adhoc Amount]]/cf_sales[[#This Row],[Weeks to Uplift]],"")</f>
        <v>6250</v>
      </c>
      <c r="AF6" s="131">
        <f>IFERROR(DATE(cf_sales[[#This Row],[Year Upl 1st]], 1, -2) - WEEKDAY(DATE(cf_sales[[#This Row],[Year Upl 1st]], 1, 3)) + cf_sales[[#This Row],[IsoW Upl 1st]] * 7,"")</f>
        <v>46076</v>
      </c>
      <c r="AG6" s="131">
        <f>IFERROR(cf_sales[[#This Row],[1st Uplift]]+(cf_sales[[#This Row],[Weeks to Uplift]]*7-1),"")</f>
        <v>46103</v>
      </c>
      <c r="AH6" s="131">
        <f>IF(cf_sales[[#This Row],[Uplift Start]]&lt;&gt;"",cf_sales[[#This Row],[Uplift Start]]+cf_sales[[#This Row],[Travel (Days)]],"")</f>
        <v>46096</v>
      </c>
      <c r="AI6" s="126">
        <f>IFERROR(DATE(cf_sales[[#This Row],[Year Del 1st]], 1, -2) - WEEKDAY(DATE(cf_sales[[#This Row],[Year Del 1st]], 1, 3)) + cf_sales[[#This Row],[IsoW Del 1st]] * 7,"")</f>
        <v>46090</v>
      </c>
      <c r="AJ6" s="126">
        <f>IFERROR(cf_sales[[#This Row],[1st Delivery]]+(cf_sales[[#This Row],[Weeks to Uplift]]*7-1),"")</f>
        <v>46117</v>
      </c>
      <c r="AK6" s="126">
        <f>IF(cf_sales[[#This Row],[Weeks to Uplift]]&lt;&gt;"",cf_sales[[#This Row],[Delivery Date]]+cf_sales[[#This Row],[Terms (Days)]],"")</f>
        <v>46111</v>
      </c>
      <c r="AL6" s="126">
        <f>IFERROR(DATE(cf_sales[[#This Row],[Year Bal 1st]], 1, -2) - WEEKDAY(DATE(cf_sales[[#This Row],[Year Bal 1st]], 1, 3)) + cf_sales[[#This Row],[IsoW Bal 1st]] * 7,"")</f>
        <v>46111</v>
      </c>
      <c r="AM6" s="126">
        <f>IFERROR(cf_sales[[#This Row],[1st Payment]]+(cf_sales[[#This Row],[Weeks to Uplift]]*7-1),"")</f>
        <v>46138</v>
      </c>
      <c r="AN6" s="126">
        <f>IF(cf_sales[[#This Row],[Weeks to Uplift]]&lt;&gt;"",cf_sales[[#This Row],[Delivery Date]]+cf_sales[[#This Row],[Transport Terms]],"")</f>
        <v>46126</v>
      </c>
      <c r="AO6" s="126">
        <f>IFERROR(DATE(cf_sales[[#This Row],[Year Trsp 1st]], 1, -2) - WEEKDAY(DATE(cf_sales[[#This Row],[Year Trsp 1st]], 1, 3)) + cf_sales[[#This Row],[IsoW Trsp 1st]] * 7,"")</f>
        <v>46125</v>
      </c>
      <c r="AP6" s="126">
        <f>IFERROR(cf_sales[[#This Row],[1st Transport]]+(cf_sales[[#This Row],[Weeks to Uplift]]*7-1),"")</f>
        <v>46152</v>
      </c>
      <c r="AQ6" s="127">
        <f>IF(cf_sales[[#This Row],[Deposit Date]]&lt;&gt;"",_xlfn.ISOWEEKNUM(cf_sales[[#This Row],[Deposit Date]]),"")</f>
        <v>5</v>
      </c>
      <c r="AR6" s="132">
        <f>IF(cf_sales[[#This Row],[Uplift Start]]&lt;&gt;"",_xlfn.ISOWEEKNUM(cf_sales[[#This Row],[Uplift Start]]),"")</f>
        <v>9</v>
      </c>
      <c r="AS6" s="132">
        <f>IF(cf_sales[[#This Row],[Weeks to Uplift]]&lt;&gt;"",cf_sales[[#This Row],[IsoW Upl 1st]]+cf_sales[[#This Row],[Weeks to Uplift]]-1,"")</f>
        <v>12</v>
      </c>
      <c r="AT6" s="127">
        <f>IF(cf_sales[[#This Row],[Delivery Date]]&lt;&gt;"",_xlfn.ISOWEEKNUM(cf_sales[[#This Row],[Delivery Date]]),"")</f>
        <v>11</v>
      </c>
      <c r="AU6" s="127">
        <f>IF(cf_sales[[#This Row],[Final Delivery]]&lt;&gt;"",_xlfn.ISOWEEKNUM(cf_sales[[#This Row],[Final Delivery]]),"")</f>
        <v>14</v>
      </c>
      <c r="AV6" s="127">
        <f>IF(cf_sales[[#This Row],[Payment Date]]&lt;&gt;"",_xlfn.ISOWEEKNUM(cf_sales[[#This Row],[Payment Date]]),"")</f>
        <v>14</v>
      </c>
      <c r="AW6" s="127">
        <f>IF(cf_sales[[#This Row],[Final Payment]]&lt;&gt;"",_xlfn.ISOWEEKNUM(cf_sales[[#This Row],[Final Payment]]),"")</f>
        <v>17</v>
      </c>
      <c r="AX6" s="127">
        <f>IF(cf_sales[[#This Row],[Transport Date]]&lt;&gt;"",_xlfn.ISOWEEKNUM(cf_sales[[#This Row],[Transport Date]]),"")</f>
        <v>16</v>
      </c>
      <c r="AY6" s="127">
        <f>IF(cf_sales[[#This Row],[Last Transport]]&lt;&gt;"",_xlfn.ISOWEEKNUM(cf_sales[[#This Row],[Last Transport]]),"")</f>
        <v>19</v>
      </c>
      <c r="AZ6" s="127">
        <f>IF(cf_sales[[#This Row],[Deposit Date]]&lt;&gt;"",YEAR(cf_sales[[#This Row],[Deposit Date]]),"")</f>
        <v>2026</v>
      </c>
      <c r="BA6" s="132">
        <f>IF(cf_sales[[#This Row],[Uplift Start]]&lt;&gt;"",YEAR(cf_sales[[#This Row],[Uplift Start]]),"")</f>
        <v>2026</v>
      </c>
      <c r="BB6" s="132">
        <f>IF(cf_sales[[#This Row],[Final Uplift]]&lt;&gt;"",YEAR(cf_sales[[#This Row],[Final Uplift]]),"")</f>
        <v>2026</v>
      </c>
      <c r="BC6" s="127">
        <f>IF(cf_sales[[#This Row],[Delivery Date]]&lt;&gt;"",YEAR(cf_sales[[#This Row],[Delivery Date]]),"")</f>
        <v>2026</v>
      </c>
      <c r="BD6" s="127">
        <f>IF(cf_sales[[#This Row],[Final Delivery]]&lt;&gt;"",YEAR(cf_sales[[#This Row],[Final Delivery]]),"")</f>
        <v>2026</v>
      </c>
      <c r="BE6" s="127">
        <f>IF(cf_sales[[#This Row],[Payment Date]]&lt;&gt;"",YEAR(cf_sales[[#This Row],[Payment Date]]),"")</f>
        <v>2026</v>
      </c>
      <c r="BF6" s="127">
        <f>IF(cf_sales[[#This Row],[Final Payment]]&lt;&gt;"",YEAR(cf_sales[[#This Row],[Final Payment]]),"")</f>
        <v>2026</v>
      </c>
      <c r="BG6" s="127">
        <f>IF(cf_sales[[#This Row],[Transport Date]]&lt;&gt;"",YEAR(cf_sales[[#This Row],[Transport Date]]),"")</f>
        <v>2026</v>
      </c>
      <c r="BH6" s="127">
        <f>IF(cf_sales[[#This Row],[Last Transport]]&lt;&gt;"",YEAR(cf_sales[[#This Row],[Last Transport]]),"")</f>
        <v>2026</v>
      </c>
      <c r="BI6" s="111"/>
      <c r="BJ6" s="111"/>
    </row>
    <row r="7" spans="2:62" ht="15.75" customHeight="1" x14ac:dyDescent="0.25">
      <c r="B7" s="332"/>
      <c r="C7" s="333"/>
      <c r="D7" s="333"/>
      <c r="E7" s="333"/>
      <c r="F7" s="334"/>
      <c r="G7" s="112"/>
      <c r="H7" s="134"/>
      <c r="I7" s="134"/>
      <c r="J7" s="135"/>
      <c r="K7" s="138"/>
      <c r="L7" s="137"/>
      <c r="M7" s="133"/>
      <c r="N7" s="133"/>
      <c r="O7" s="139"/>
      <c r="P7" s="139"/>
      <c r="Q7" s="139"/>
      <c r="R7" s="125" t="str">
        <f>IF(cf_sales[[#This Row],[Deposit%]]&lt;&gt;"",1-cf_sales[[#This Row],[Deposit%]],"")</f>
        <v/>
      </c>
      <c r="S7" s="128" t="str">
        <f>IF(cf_sales[[#This Row],[Sales Price]]&lt;&gt;"",cf_sales[[#This Row],[Quantity]]*cf_sales[[#This Row],[Sales Price]],"")</f>
        <v/>
      </c>
      <c r="T7" s="129" t="str">
        <f>IF(cf_sales[[#This Row],[Sales Price]]&lt;&gt;"",cf_sales[[#This Row],[Quantity]]*cf_sales[[#This Row],[Sales Price]]*cf_sales[[#This Row],[Balance%]],"")</f>
        <v/>
      </c>
      <c r="U7" s="129" t="str">
        <f>IF(cf_sales[[#This Row],[Deposit%]]&lt;&gt;0,cf_sales[[#This Row],[Total Amount]]*cf_sales[[#This Row],[Deposit%]],"")</f>
        <v/>
      </c>
      <c r="V7" s="129" t="str">
        <f>IF(cf_sales[[#This Row],[Travel (Days)]]="","",30)</f>
        <v/>
      </c>
      <c r="W7" s="129" t="str">
        <f>IF(cf_sales[[#This Row],[Transport Terms]]="","",(_xlfn.XLOOKUP(cf_sales[[#This Row],[Deal No.]],transport_cost[Deal No.],transport_cost[Price],"",0,1))*cf_sales[[#This Row],[Quantity]])</f>
        <v/>
      </c>
      <c r="X7" s="129">
        <f>IFERROR(IF('Ad Hoc Cost'!$T$4=0,"",'Ad Hoc Cost'!$D$17*cf_sales[[#This Row],[Quantity]]),"")</f>
        <v>0</v>
      </c>
      <c r="Y7" s="130" t="str">
        <f>IF(cf_sales[[#This Row],[Uplift (Days)]]&lt;&gt;"",ROUNDUP(cf_sales[[#This Row],[Uplift (Days)]]/7,0),"")</f>
        <v/>
      </c>
      <c r="Z7" s="130" t="str">
        <f>IF(cf_sales[[#This Row],[Uplift (Days)]]&lt;&gt;"",ROUNDUP(cf_sales[[#This Row],[Uplift (Days)]]/7,0),"")</f>
        <v/>
      </c>
      <c r="AA7" s="130" t="str">
        <f>IF(cf_sales[[#This Row],[Uplift (Days)]]&lt;&gt;"",ROUNDUP(cf_sales[[#This Row],[Uplift (Days)]]/7,0),"")</f>
        <v/>
      </c>
      <c r="AB7" s="124" t="str">
        <f>IF(cf_sales[[#This Row],[Quantity]]&lt;&gt;"",cf_sales[[#This Row],[Quantity]]/cf_sales[[#This Row],[Weeks to Uplift]],"")</f>
        <v/>
      </c>
      <c r="AC7" s="129" t="str">
        <f>IF(cf_sales[[#This Row],[Sales Price]]&lt;&gt;"",cf_sales[[#This Row],[Balance Amount]]/cf_sales[[#This Row],[Weeks to Uplift]],"")</f>
        <v/>
      </c>
      <c r="AD7" s="129" t="str">
        <f>IF(cf_sales[[#This Row],[Transport Amount]]&lt;&gt;"",cf_sales[[#This Row],[Transport Amount]]/cf_sales[[#This Row],[Weeks to Uplift]],"")</f>
        <v/>
      </c>
      <c r="AE7" s="129" t="e">
        <f>IF(cf_sales[[#This Row],[Adhoc Amount]]&lt;&gt;"",cf_sales[[#This Row],[Adhoc Amount]]/cf_sales[[#This Row],[Weeks to Uplift]],"")</f>
        <v>#VALUE!</v>
      </c>
      <c r="AF7" s="131" t="str">
        <f>IFERROR(DATE(cf_sales[[#This Row],[Year Upl 1st]], 1, -2) - WEEKDAY(DATE(cf_sales[[#This Row],[Year Upl 1st]], 1, 3)) + cf_sales[[#This Row],[IsoW Upl 1st]] * 7,"")</f>
        <v/>
      </c>
      <c r="AG7" s="131" t="str">
        <f>IFERROR(cf_sales[[#This Row],[1st Uplift]]+(cf_sales[[#This Row],[Weeks to Uplift]]*7-1),"")</f>
        <v/>
      </c>
      <c r="AH7" s="131" t="str">
        <f>IF(cf_sales[[#This Row],[Uplift Start]]&lt;&gt;"",cf_sales[[#This Row],[Uplift Start]]+cf_sales[[#This Row],[Travel (Days)]],"")</f>
        <v/>
      </c>
      <c r="AI7" s="126" t="str">
        <f>IFERROR(DATE(cf_sales[[#This Row],[Year Del 1st]], 1, -2) - WEEKDAY(DATE(cf_sales[[#This Row],[Year Del 1st]], 1, 3)) + cf_sales[[#This Row],[IsoW Del 1st]] * 7,"")</f>
        <v/>
      </c>
      <c r="AJ7" s="126" t="str">
        <f>IFERROR(cf_sales[[#This Row],[1st Delivery]]+(cf_sales[[#This Row],[Weeks to Uplift]]*7-1),"")</f>
        <v/>
      </c>
      <c r="AK7" s="126" t="str">
        <f>IF(cf_sales[[#This Row],[Weeks to Uplift]]&lt;&gt;"",cf_sales[[#This Row],[Delivery Date]]+cf_sales[[#This Row],[Terms (Days)]],"")</f>
        <v/>
      </c>
      <c r="AL7" s="126" t="str">
        <f>IFERROR(DATE(cf_sales[[#This Row],[Year Bal 1st]], 1, -2) - WEEKDAY(DATE(cf_sales[[#This Row],[Year Bal 1st]], 1, 3)) + cf_sales[[#This Row],[IsoW Bal 1st]] * 7,"")</f>
        <v/>
      </c>
      <c r="AM7" s="126" t="str">
        <f>IFERROR(cf_sales[[#This Row],[1st Payment]]+(cf_sales[[#This Row],[Weeks to Uplift]]*7-1),"")</f>
        <v/>
      </c>
      <c r="AN7" s="126" t="str">
        <f>IF(cf_sales[[#This Row],[Weeks to Uplift]]&lt;&gt;"",cf_sales[[#This Row],[Delivery Date]]+cf_sales[[#This Row],[Transport Terms]],"")</f>
        <v/>
      </c>
      <c r="AO7" s="126" t="str">
        <f>IFERROR(DATE(cf_sales[[#This Row],[Year Trsp 1st]], 1, -2) - WEEKDAY(DATE(cf_sales[[#This Row],[Year Trsp 1st]], 1, 3)) + cf_sales[[#This Row],[IsoW Trsp 1st]] * 7,"")</f>
        <v/>
      </c>
      <c r="AP7" s="126" t="str">
        <f>IFERROR(cf_sales[[#This Row],[1st Transport]]+(cf_sales[[#This Row],[Weeks to Uplift]]*7-1),"")</f>
        <v/>
      </c>
      <c r="AQ7" s="127" t="str">
        <f>IF(cf_sales[[#This Row],[Deposit Date]]&lt;&gt;"",_xlfn.ISOWEEKNUM(cf_sales[[#This Row],[Deposit Date]]),"")</f>
        <v/>
      </c>
      <c r="AR7" s="132" t="str">
        <f>IF(cf_sales[[#This Row],[Uplift Start]]&lt;&gt;"",_xlfn.ISOWEEKNUM(cf_sales[[#This Row],[Uplift Start]]),"")</f>
        <v/>
      </c>
      <c r="AS7" s="132" t="str">
        <f>IF(cf_sales[[#This Row],[Weeks to Uplift]]&lt;&gt;"",cf_sales[[#This Row],[IsoW Upl 1st]]+cf_sales[[#This Row],[Weeks to Uplift]]-1,"")</f>
        <v/>
      </c>
      <c r="AT7" s="127" t="str">
        <f>IF(cf_sales[[#This Row],[Delivery Date]]&lt;&gt;"",_xlfn.ISOWEEKNUM(cf_sales[[#This Row],[Delivery Date]]),"")</f>
        <v/>
      </c>
      <c r="AU7" s="127" t="str">
        <f>IF(cf_sales[[#This Row],[Final Delivery]]&lt;&gt;"",_xlfn.ISOWEEKNUM(cf_sales[[#This Row],[Final Delivery]]),"")</f>
        <v/>
      </c>
      <c r="AV7" s="127" t="str">
        <f>IF(cf_sales[[#This Row],[Payment Date]]&lt;&gt;"",_xlfn.ISOWEEKNUM(cf_sales[[#This Row],[Payment Date]]),"")</f>
        <v/>
      </c>
      <c r="AW7" s="127" t="str">
        <f>IF(cf_sales[[#This Row],[Final Payment]]&lt;&gt;"",_xlfn.ISOWEEKNUM(cf_sales[[#This Row],[Final Payment]]),"")</f>
        <v/>
      </c>
      <c r="AX7" s="127" t="str">
        <f>IF(cf_sales[[#This Row],[Transport Date]]&lt;&gt;"",_xlfn.ISOWEEKNUM(cf_sales[[#This Row],[Transport Date]]),"")</f>
        <v/>
      </c>
      <c r="AY7" s="127" t="str">
        <f>IF(cf_sales[[#This Row],[Last Transport]]&lt;&gt;"",_xlfn.ISOWEEKNUM(cf_sales[[#This Row],[Last Transport]]),"")</f>
        <v/>
      </c>
      <c r="AZ7" s="127" t="str">
        <f>IF(cf_sales[[#This Row],[Deposit Date]]&lt;&gt;"",YEAR(cf_sales[[#This Row],[Deposit Date]]),"")</f>
        <v/>
      </c>
      <c r="BA7" s="132" t="str">
        <f>IF(cf_sales[[#This Row],[Uplift Start]]&lt;&gt;"",YEAR(cf_sales[[#This Row],[Uplift Start]]),"")</f>
        <v/>
      </c>
      <c r="BB7" s="132" t="str">
        <f>IF(cf_sales[[#This Row],[Final Uplift]]&lt;&gt;"",YEAR(cf_sales[[#This Row],[Final Uplift]]),"")</f>
        <v/>
      </c>
      <c r="BC7" s="127" t="str">
        <f>IF(cf_sales[[#This Row],[Delivery Date]]&lt;&gt;"",YEAR(cf_sales[[#This Row],[Delivery Date]]),"")</f>
        <v/>
      </c>
      <c r="BD7" s="127" t="str">
        <f>IF(cf_sales[[#This Row],[Final Delivery]]&lt;&gt;"",YEAR(cf_sales[[#This Row],[Final Delivery]]),"")</f>
        <v/>
      </c>
      <c r="BE7" s="127" t="str">
        <f>IF(cf_sales[[#This Row],[Payment Date]]&lt;&gt;"",YEAR(cf_sales[[#This Row],[Payment Date]]),"")</f>
        <v/>
      </c>
      <c r="BF7" s="127" t="str">
        <f>IF(cf_sales[[#This Row],[Final Payment]]&lt;&gt;"",YEAR(cf_sales[[#This Row],[Final Payment]]),"")</f>
        <v/>
      </c>
      <c r="BG7" s="127" t="str">
        <f>IF(cf_sales[[#This Row],[Transport Date]]&lt;&gt;"",YEAR(cf_sales[[#This Row],[Transport Date]]),"")</f>
        <v/>
      </c>
      <c r="BH7" s="127" t="str">
        <f>IF(cf_sales[[#This Row],[Last Transport]]&lt;&gt;"",YEAR(cf_sales[[#This Row],[Last Transport]]),"")</f>
        <v/>
      </c>
      <c r="BI7" s="111"/>
      <c r="BJ7" s="111"/>
    </row>
    <row r="8" spans="2:62" ht="15.75" customHeight="1" x14ac:dyDescent="0.25">
      <c r="B8" s="332"/>
      <c r="C8" s="333"/>
      <c r="D8" s="333"/>
      <c r="E8" s="333"/>
      <c r="F8" s="334"/>
      <c r="G8" s="112"/>
      <c r="H8" s="234"/>
      <c r="I8" s="234"/>
      <c r="J8" s="235"/>
      <c r="K8" s="245"/>
      <c r="L8" s="237"/>
      <c r="M8" s="238"/>
      <c r="N8" s="238"/>
      <c r="O8" s="246"/>
      <c r="P8" s="246"/>
      <c r="Q8" s="246"/>
      <c r="R8" s="239" t="str">
        <f>IF(cf_sales[[#This Row],[Deposit%]]&lt;&gt;"",1-cf_sales[[#This Row],[Deposit%]],"")</f>
        <v/>
      </c>
      <c r="S8" s="240" t="str">
        <f>IF(cf_sales[[#This Row],[Sales Price]]&lt;&gt;"",cf_sales[[#This Row],[Quantity]]*cf_sales[[#This Row],[Sales Price]],"")</f>
        <v/>
      </c>
      <c r="T8" s="242" t="str">
        <f>IF(cf_sales[[#This Row],[Sales Price]]&lt;&gt;"",cf_sales[[#This Row],[Quantity]]*cf_sales[[#This Row],[Sales Price]]*cf_sales[[#This Row],[Balance%]],"")</f>
        <v/>
      </c>
      <c r="U8" s="242" t="str">
        <f>IF(cf_sales[[#This Row],[Deposit%]]&lt;&gt;0,cf_sales[[#This Row],[Total Amount]]*cf_sales[[#This Row],[Deposit%]],"")</f>
        <v/>
      </c>
      <c r="V8" s="242" t="str">
        <f>IF(cf_sales[[#This Row],[Travel (Days)]]="","",30)</f>
        <v/>
      </c>
      <c r="W8" s="242" t="str">
        <f>IF(cf_sales[[#This Row],[Transport Terms]]="","",(_xlfn.XLOOKUP(cf_sales[[#This Row],[Deal No.]],transport_cost[Deal No.],transport_cost[Price],"",0,1))*cf_sales[[#This Row],[Quantity]])</f>
        <v/>
      </c>
      <c r="X8" s="129">
        <f>IFERROR(IF('Ad Hoc Cost'!$T$4=0,"",'Ad Hoc Cost'!$D$17*cf_sales[[#This Row],[Quantity]]),"")</f>
        <v>0</v>
      </c>
      <c r="Y8" s="247" t="str">
        <f>IF(cf_sales[[#This Row],[Uplift (Days)]]&lt;&gt;"",ROUNDUP(cf_sales[[#This Row],[Uplift (Days)]]/7,0),"")</f>
        <v/>
      </c>
      <c r="Z8" s="247" t="str">
        <f>IF(cf_sales[[#This Row],[Uplift (Days)]]&lt;&gt;"",ROUNDUP(cf_sales[[#This Row],[Uplift (Days)]]/7,0),"")</f>
        <v/>
      </c>
      <c r="AA8" s="247" t="str">
        <f>IF(cf_sales[[#This Row],[Uplift (Days)]]&lt;&gt;"",ROUNDUP(cf_sales[[#This Row],[Uplift (Days)]]/7,0),"")</f>
        <v/>
      </c>
      <c r="AB8" s="248" t="str">
        <f>IF(cf_sales[[#This Row],[Quantity]]&lt;&gt;"",cf_sales[[#This Row],[Quantity]]/cf_sales[[#This Row],[Weeks to Uplift]],"")</f>
        <v/>
      </c>
      <c r="AC8" s="242" t="str">
        <f>IF(cf_sales[[#This Row],[Sales Price]]&lt;&gt;"",cf_sales[[#This Row],[Balance Amount]]/cf_sales[[#This Row],[Weeks to Uplift]],"")</f>
        <v/>
      </c>
      <c r="AD8" s="242" t="str">
        <f>IF(cf_sales[[#This Row],[Transport Amount]]&lt;&gt;"",cf_sales[[#This Row],[Transport Amount]]/cf_sales[[#This Row],[Weeks to Uplift]],"")</f>
        <v/>
      </c>
      <c r="AE8" s="242" t="e">
        <f>IF(cf_sales[[#This Row],[Adhoc Amount]]&lt;&gt;"",cf_sales[[#This Row],[Adhoc Amount]]/cf_sales[[#This Row],[Weeks to Uplift]],"")</f>
        <v>#VALUE!</v>
      </c>
      <c r="AF8" s="249" t="str">
        <f>IFERROR(DATE(cf_sales[[#This Row],[Year Upl 1st]], 1, -2) - WEEKDAY(DATE(cf_sales[[#This Row],[Year Upl 1st]], 1, 3)) + cf_sales[[#This Row],[IsoW Upl 1st]] * 7,"")</f>
        <v/>
      </c>
      <c r="AG8" s="249" t="str">
        <f>IFERROR(cf_sales[[#This Row],[1st Uplift]]+(cf_sales[[#This Row],[Weeks to Uplift]]*7-1),"")</f>
        <v/>
      </c>
      <c r="AH8" s="249" t="str">
        <f>IF(cf_sales[[#This Row],[Uplift Start]]&lt;&gt;"",cf_sales[[#This Row],[Uplift Start]]+cf_sales[[#This Row],[Travel (Days)]],"")</f>
        <v/>
      </c>
      <c r="AI8" s="243" t="str">
        <f>IFERROR(DATE(cf_sales[[#This Row],[Year Del 1st]], 1, -2) - WEEKDAY(DATE(cf_sales[[#This Row],[Year Del 1st]], 1, 3)) + cf_sales[[#This Row],[IsoW Del 1st]] * 7,"")</f>
        <v/>
      </c>
      <c r="AJ8" s="243" t="str">
        <f>IFERROR(cf_sales[[#This Row],[1st Delivery]]+(cf_sales[[#This Row],[Weeks to Uplift]]*7-1),"")</f>
        <v/>
      </c>
      <c r="AK8" s="243" t="str">
        <f>IF(cf_sales[[#This Row],[Weeks to Uplift]]&lt;&gt;"",cf_sales[[#This Row],[Delivery Date]]+cf_sales[[#This Row],[Terms (Days)]],"")</f>
        <v/>
      </c>
      <c r="AL8" s="243" t="str">
        <f>IFERROR(DATE(cf_sales[[#This Row],[Year Bal 1st]], 1, -2) - WEEKDAY(DATE(cf_sales[[#This Row],[Year Bal 1st]], 1, 3)) + cf_sales[[#This Row],[IsoW Bal 1st]] * 7,"")</f>
        <v/>
      </c>
      <c r="AM8" s="243" t="str">
        <f>IFERROR(cf_sales[[#This Row],[1st Payment]]+(cf_sales[[#This Row],[Weeks to Uplift]]*7-1),"")</f>
        <v/>
      </c>
      <c r="AN8" s="243" t="str">
        <f>IF(cf_sales[[#This Row],[Weeks to Uplift]]&lt;&gt;"",cf_sales[[#This Row],[Delivery Date]]+cf_sales[[#This Row],[Transport Terms]],"")</f>
        <v/>
      </c>
      <c r="AO8" s="243" t="str">
        <f>IFERROR(DATE(cf_sales[[#This Row],[Year Trsp 1st]], 1, -2) - WEEKDAY(DATE(cf_sales[[#This Row],[Year Trsp 1st]], 1, 3)) + cf_sales[[#This Row],[IsoW Trsp 1st]] * 7,"")</f>
        <v/>
      </c>
      <c r="AP8" s="243" t="str">
        <f>IFERROR(cf_sales[[#This Row],[1st Transport]]+(cf_sales[[#This Row],[Weeks to Uplift]]*7-1),"")</f>
        <v/>
      </c>
      <c r="AQ8" s="241" t="str">
        <f>IF(cf_sales[[#This Row],[Deposit Date]]&lt;&gt;"",_xlfn.ISOWEEKNUM(cf_sales[[#This Row],[Deposit Date]]),"")</f>
        <v/>
      </c>
      <c r="AR8" s="250" t="str">
        <f>IF(cf_sales[[#This Row],[Uplift Start]]&lt;&gt;"",_xlfn.ISOWEEKNUM(cf_sales[[#This Row],[Uplift Start]]),"")</f>
        <v/>
      </c>
      <c r="AS8" s="250" t="str">
        <f>IF(cf_sales[[#This Row],[Weeks to Uplift]]&lt;&gt;"",cf_sales[[#This Row],[IsoW Upl 1st]]+cf_sales[[#This Row],[Weeks to Uplift]]-1,"")</f>
        <v/>
      </c>
      <c r="AT8" s="241" t="str">
        <f>IF(cf_sales[[#This Row],[Delivery Date]]&lt;&gt;"",_xlfn.ISOWEEKNUM(cf_sales[[#This Row],[Delivery Date]]),"")</f>
        <v/>
      </c>
      <c r="AU8" s="241" t="str">
        <f>IF(cf_sales[[#This Row],[Final Delivery]]&lt;&gt;"",_xlfn.ISOWEEKNUM(cf_sales[[#This Row],[Final Delivery]]),"")</f>
        <v/>
      </c>
      <c r="AV8" s="241" t="str">
        <f>IF(cf_sales[[#This Row],[Payment Date]]&lt;&gt;"",_xlfn.ISOWEEKNUM(cf_sales[[#This Row],[Payment Date]]),"")</f>
        <v/>
      </c>
      <c r="AW8" s="241" t="str">
        <f>IF(cf_sales[[#This Row],[Final Payment]]&lt;&gt;"",_xlfn.ISOWEEKNUM(cf_sales[[#This Row],[Final Payment]]),"")</f>
        <v/>
      </c>
      <c r="AX8" s="241" t="str">
        <f>IF(cf_sales[[#This Row],[Transport Date]]&lt;&gt;"",_xlfn.ISOWEEKNUM(cf_sales[[#This Row],[Transport Date]]),"")</f>
        <v/>
      </c>
      <c r="AY8" s="241" t="str">
        <f>IF(cf_sales[[#This Row],[Last Transport]]&lt;&gt;"",_xlfn.ISOWEEKNUM(cf_sales[[#This Row],[Last Transport]]),"")</f>
        <v/>
      </c>
      <c r="AZ8" s="241" t="str">
        <f>IF(cf_sales[[#This Row],[Deposit Date]]&lt;&gt;"",YEAR(cf_sales[[#This Row],[Deposit Date]]),"")</f>
        <v/>
      </c>
      <c r="BA8" s="250" t="str">
        <f>IF(cf_sales[[#This Row],[Uplift Start]]&lt;&gt;"",YEAR(cf_sales[[#This Row],[Uplift Start]]),"")</f>
        <v/>
      </c>
      <c r="BB8" s="250" t="str">
        <f>IF(cf_sales[[#This Row],[Final Uplift]]&lt;&gt;"",YEAR(cf_sales[[#This Row],[Final Uplift]]),"")</f>
        <v/>
      </c>
      <c r="BC8" s="241" t="str">
        <f>IF(cf_sales[[#This Row],[Delivery Date]]&lt;&gt;"",YEAR(cf_sales[[#This Row],[Delivery Date]]),"")</f>
        <v/>
      </c>
      <c r="BD8" s="241" t="str">
        <f>IF(cf_sales[[#This Row],[Final Delivery]]&lt;&gt;"",YEAR(cf_sales[[#This Row],[Final Delivery]]),"")</f>
        <v/>
      </c>
      <c r="BE8" s="241" t="str">
        <f>IF(cf_sales[[#This Row],[Payment Date]]&lt;&gt;"",YEAR(cf_sales[[#This Row],[Payment Date]]),"")</f>
        <v/>
      </c>
      <c r="BF8" s="241" t="str">
        <f>IF(cf_sales[[#This Row],[Final Payment]]&lt;&gt;"",YEAR(cf_sales[[#This Row],[Final Payment]]),"")</f>
        <v/>
      </c>
      <c r="BG8" s="241" t="str">
        <f>IF(cf_sales[[#This Row],[Transport Date]]&lt;&gt;"",YEAR(cf_sales[[#This Row],[Transport Date]]),"")</f>
        <v/>
      </c>
      <c r="BH8" s="241" t="str">
        <f>IF(cf_sales[[#This Row],[Last Transport]]&lt;&gt;"",YEAR(cf_sales[[#This Row],[Last Transport]]),"")</f>
        <v/>
      </c>
      <c r="BI8" s="111"/>
      <c r="BJ8" s="111"/>
    </row>
    <row r="9" spans="2:62" ht="15.75" customHeight="1" x14ac:dyDescent="0.25">
      <c r="B9" s="332"/>
      <c r="C9" s="333"/>
      <c r="D9" s="333"/>
      <c r="E9" s="333"/>
      <c r="F9" s="334"/>
      <c r="G9" s="112"/>
      <c r="H9" s="134"/>
      <c r="I9" s="134"/>
      <c r="J9" s="135"/>
      <c r="K9" s="138"/>
      <c r="L9" s="137"/>
      <c r="M9" s="133"/>
      <c r="N9" s="133"/>
      <c r="O9" s="139"/>
      <c r="P9" s="139"/>
      <c r="Q9" s="139"/>
      <c r="R9" s="125" t="str">
        <f>IF(cf_sales[[#This Row],[Deposit%]]&lt;&gt;"",1-cf_sales[[#This Row],[Deposit%]],"")</f>
        <v/>
      </c>
      <c r="S9" s="128" t="str">
        <f>IF(cf_sales[[#This Row],[Sales Price]]&lt;&gt;"",cf_sales[[#This Row],[Quantity]]*cf_sales[[#This Row],[Sales Price]],"")</f>
        <v/>
      </c>
      <c r="T9" s="129" t="str">
        <f>IF(cf_sales[[#This Row],[Sales Price]]&lt;&gt;"",cf_sales[[#This Row],[Quantity]]*cf_sales[[#This Row],[Sales Price]]*cf_sales[[#This Row],[Balance%]],"")</f>
        <v/>
      </c>
      <c r="U9" s="129" t="str">
        <f>IF(cf_sales[[#This Row],[Deposit%]]&lt;&gt;0,cf_sales[[#This Row],[Total Amount]]*cf_sales[[#This Row],[Deposit%]],"")</f>
        <v/>
      </c>
      <c r="V9" s="129" t="str">
        <f>IF(cf_sales[[#This Row],[Travel (Days)]]="","",30)</f>
        <v/>
      </c>
      <c r="W9" s="129" t="str">
        <f>IF(cf_sales[[#This Row],[Transport Terms]]="","",(_xlfn.XLOOKUP(cf_sales[[#This Row],[Deal No.]],transport_cost[Deal No.],transport_cost[Price],"",0,1))*cf_sales[[#This Row],[Quantity]])</f>
        <v/>
      </c>
      <c r="X9" s="129">
        <f>IFERROR(IF('Ad Hoc Cost'!$T$4=0,"",'Ad Hoc Cost'!$D$17*cf_sales[[#This Row],[Quantity]]),"")</f>
        <v>0</v>
      </c>
      <c r="Y9" s="130" t="str">
        <f>IF(cf_sales[[#This Row],[Uplift (Days)]]&lt;&gt;"",ROUNDUP(cf_sales[[#This Row],[Uplift (Days)]]/7,0),"")</f>
        <v/>
      </c>
      <c r="Z9" s="130" t="str">
        <f>IF(cf_sales[[#This Row],[Uplift (Days)]]&lt;&gt;"",ROUNDUP(cf_sales[[#This Row],[Uplift (Days)]]/7,0),"")</f>
        <v/>
      </c>
      <c r="AA9" s="130" t="str">
        <f>IF(cf_sales[[#This Row],[Uplift (Days)]]&lt;&gt;"",ROUNDUP(cf_sales[[#This Row],[Uplift (Days)]]/7,0),"")</f>
        <v/>
      </c>
      <c r="AB9" s="124" t="str">
        <f>IF(cf_sales[[#This Row],[Quantity]]&lt;&gt;"",cf_sales[[#This Row],[Quantity]]/cf_sales[[#This Row],[Weeks to Uplift]],"")</f>
        <v/>
      </c>
      <c r="AC9" s="129" t="str">
        <f>IF(cf_sales[[#This Row],[Sales Price]]&lt;&gt;"",cf_sales[[#This Row],[Balance Amount]]/cf_sales[[#This Row],[Weeks to Uplift]],"")</f>
        <v/>
      </c>
      <c r="AD9" s="129" t="str">
        <f>IF(cf_sales[[#This Row],[Transport Amount]]&lt;&gt;"",cf_sales[[#This Row],[Transport Amount]]/cf_sales[[#This Row],[Weeks to Uplift]],"")</f>
        <v/>
      </c>
      <c r="AE9" s="129" t="e">
        <f>IF(cf_sales[[#This Row],[Adhoc Amount]]&lt;&gt;"",cf_sales[[#This Row],[Adhoc Amount]]/cf_sales[[#This Row],[Weeks to Uplift]],"")</f>
        <v>#VALUE!</v>
      </c>
      <c r="AF9" s="131" t="str">
        <f>IFERROR(DATE(cf_sales[[#This Row],[Year Upl 1st]], 1, -2) - WEEKDAY(DATE(cf_sales[[#This Row],[Year Upl 1st]], 1, 3)) + cf_sales[[#This Row],[IsoW Upl 1st]] * 7,"")</f>
        <v/>
      </c>
      <c r="AG9" s="131" t="str">
        <f>IFERROR(cf_sales[[#This Row],[1st Uplift]]+(cf_sales[[#This Row],[Weeks to Uplift]]*7-1),"")</f>
        <v/>
      </c>
      <c r="AH9" s="131" t="str">
        <f>IF(cf_sales[[#This Row],[Uplift Start]]&lt;&gt;"",cf_sales[[#This Row],[Uplift Start]]+cf_sales[[#This Row],[Travel (Days)]],"")</f>
        <v/>
      </c>
      <c r="AI9" s="126" t="str">
        <f>IFERROR(DATE(cf_sales[[#This Row],[Year Del 1st]], 1, -2) - WEEKDAY(DATE(cf_sales[[#This Row],[Year Del 1st]], 1, 3)) + cf_sales[[#This Row],[IsoW Del 1st]] * 7,"")</f>
        <v/>
      </c>
      <c r="AJ9" s="126" t="str">
        <f>IFERROR(cf_sales[[#This Row],[1st Delivery]]+(cf_sales[[#This Row],[Weeks to Uplift]]*7-1),"")</f>
        <v/>
      </c>
      <c r="AK9" s="126" t="str">
        <f>IF(cf_sales[[#This Row],[Weeks to Uplift]]&lt;&gt;"",cf_sales[[#This Row],[Delivery Date]]+cf_sales[[#This Row],[Terms (Days)]],"")</f>
        <v/>
      </c>
      <c r="AL9" s="126" t="str">
        <f>IFERROR(DATE(cf_sales[[#This Row],[Year Bal 1st]], 1, -2) - WEEKDAY(DATE(cf_sales[[#This Row],[Year Bal 1st]], 1, 3)) + cf_sales[[#This Row],[IsoW Bal 1st]] * 7,"")</f>
        <v/>
      </c>
      <c r="AM9" s="126" t="str">
        <f>IFERROR(cf_sales[[#This Row],[1st Payment]]+(cf_sales[[#This Row],[Weeks to Uplift]]*7-1),"")</f>
        <v/>
      </c>
      <c r="AN9" s="126" t="str">
        <f>IF(cf_sales[[#This Row],[Weeks to Uplift]]&lt;&gt;"",cf_sales[[#This Row],[Delivery Date]]+cf_sales[[#This Row],[Transport Terms]],"")</f>
        <v/>
      </c>
      <c r="AO9" s="126" t="str">
        <f>IFERROR(DATE(cf_sales[[#This Row],[Year Trsp 1st]], 1, -2) - WEEKDAY(DATE(cf_sales[[#This Row],[Year Trsp 1st]], 1, 3)) + cf_sales[[#This Row],[IsoW Trsp 1st]] * 7,"")</f>
        <v/>
      </c>
      <c r="AP9" s="126" t="str">
        <f>IFERROR(cf_sales[[#This Row],[1st Transport]]+(cf_sales[[#This Row],[Weeks to Uplift]]*7-1),"")</f>
        <v/>
      </c>
      <c r="AQ9" s="127" t="str">
        <f>IF(cf_sales[[#This Row],[Deposit Date]]&lt;&gt;"",_xlfn.ISOWEEKNUM(cf_sales[[#This Row],[Deposit Date]]),"")</f>
        <v/>
      </c>
      <c r="AR9" s="132" t="str">
        <f>IF(cf_sales[[#This Row],[Uplift Start]]&lt;&gt;"",_xlfn.ISOWEEKNUM(cf_sales[[#This Row],[Uplift Start]]),"")</f>
        <v/>
      </c>
      <c r="AS9" s="132" t="str">
        <f>IF(cf_sales[[#This Row],[Weeks to Uplift]]&lt;&gt;"",cf_sales[[#This Row],[IsoW Upl 1st]]+cf_sales[[#This Row],[Weeks to Uplift]]-1,"")</f>
        <v/>
      </c>
      <c r="AT9" s="127" t="str">
        <f>IF(cf_sales[[#This Row],[Delivery Date]]&lt;&gt;"",_xlfn.ISOWEEKNUM(cf_sales[[#This Row],[Delivery Date]]),"")</f>
        <v/>
      </c>
      <c r="AU9" s="127" t="str">
        <f>IF(cf_sales[[#This Row],[Final Delivery]]&lt;&gt;"",_xlfn.ISOWEEKNUM(cf_sales[[#This Row],[Final Delivery]]),"")</f>
        <v/>
      </c>
      <c r="AV9" s="127" t="str">
        <f>IF(cf_sales[[#This Row],[Payment Date]]&lt;&gt;"",_xlfn.ISOWEEKNUM(cf_sales[[#This Row],[Payment Date]]),"")</f>
        <v/>
      </c>
      <c r="AW9" s="127" t="str">
        <f>IF(cf_sales[[#This Row],[Final Payment]]&lt;&gt;"",_xlfn.ISOWEEKNUM(cf_sales[[#This Row],[Final Payment]]),"")</f>
        <v/>
      </c>
      <c r="AX9" s="127" t="str">
        <f>IF(cf_sales[[#This Row],[Transport Date]]&lt;&gt;"",_xlfn.ISOWEEKNUM(cf_sales[[#This Row],[Transport Date]]),"")</f>
        <v/>
      </c>
      <c r="AY9" s="127" t="str">
        <f>IF(cf_sales[[#This Row],[Last Transport]]&lt;&gt;"",_xlfn.ISOWEEKNUM(cf_sales[[#This Row],[Last Transport]]),"")</f>
        <v/>
      </c>
      <c r="AZ9" s="127" t="str">
        <f>IF(cf_sales[[#This Row],[Deposit Date]]&lt;&gt;"",YEAR(cf_sales[[#This Row],[Deposit Date]]),"")</f>
        <v/>
      </c>
      <c r="BA9" s="132" t="str">
        <f>IF(cf_sales[[#This Row],[Uplift Start]]&lt;&gt;"",YEAR(cf_sales[[#This Row],[Uplift Start]]),"")</f>
        <v/>
      </c>
      <c r="BB9" s="132" t="str">
        <f>IF(cf_sales[[#This Row],[Final Uplift]]&lt;&gt;"",YEAR(cf_sales[[#This Row],[Final Uplift]]),"")</f>
        <v/>
      </c>
      <c r="BC9" s="127" t="str">
        <f>IF(cf_sales[[#This Row],[Delivery Date]]&lt;&gt;"",YEAR(cf_sales[[#This Row],[Delivery Date]]),"")</f>
        <v/>
      </c>
      <c r="BD9" s="127" t="str">
        <f>IF(cf_sales[[#This Row],[Final Delivery]]&lt;&gt;"",YEAR(cf_sales[[#This Row],[Final Delivery]]),"")</f>
        <v/>
      </c>
      <c r="BE9" s="127" t="str">
        <f>IF(cf_sales[[#This Row],[Payment Date]]&lt;&gt;"",YEAR(cf_sales[[#This Row],[Payment Date]]),"")</f>
        <v/>
      </c>
      <c r="BF9" s="127" t="str">
        <f>IF(cf_sales[[#This Row],[Final Payment]]&lt;&gt;"",YEAR(cf_sales[[#This Row],[Final Payment]]),"")</f>
        <v/>
      </c>
      <c r="BG9" s="127" t="str">
        <f>IF(cf_sales[[#This Row],[Transport Date]]&lt;&gt;"",YEAR(cf_sales[[#This Row],[Transport Date]]),"")</f>
        <v/>
      </c>
      <c r="BH9" s="127" t="str">
        <f>IF(cf_sales[[#This Row],[Last Transport]]&lt;&gt;"",YEAR(cf_sales[[#This Row],[Last Transport]]),"")</f>
        <v/>
      </c>
      <c r="BI9" s="111"/>
      <c r="BJ9" s="111"/>
    </row>
    <row r="10" spans="2:62" ht="15.75" customHeight="1" x14ac:dyDescent="0.25">
      <c r="B10" s="332"/>
      <c r="C10" s="333"/>
      <c r="D10" s="333"/>
      <c r="E10" s="333"/>
      <c r="F10" s="334"/>
      <c r="G10" s="112"/>
      <c r="H10" s="134"/>
      <c r="I10" s="134"/>
      <c r="J10" s="135"/>
      <c r="K10" s="138"/>
      <c r="L10" s="137"/>
      <c r="M10" s="133"/>
      <c r="N10" s="133"/>
      <c r="O10" s="139"/>
      <c r="P10" s="139"/>
      <c r="Q10" s="139"/>
      <c r="R10" s="125" t="str">
        <f>IF(cf_sales[[#This Row],[Deposit%]]&lt;&gt;"",1-cf_sales[[#This Row],[Deposit%]],"")</f>
        <v/>
      </c>
      <c r="S10" s="128" t="str">
        <f>IF(cf_sales[[#This Row],[Sales Price]]&lt;&gt;"",cf_sales[[#This Row],[Quantity]]*cf_sales[[#This Row],[Sales Price]],"")</f>
        <v/>
      </c>
      <c r="T10" s="129" t="str">
        <f>IF(cf_sales[[#This Row],[Sales Price]]&lt;&gt;"",cf_sales[[#This Row],[Quantity]]*cf_sales[[#This Row],[Sales Price]]*cf_sales[[#This Row],[Balance%]],"")</f>
        <v/>
      </c>
      <c r="U10" s="129" t="str">
        <f>IF(cf_sales[[#This Row],[Deposit%]]&lt;&gt;0,cf_sales[[#This Row],[Total Amount]]*cf_sales[[#This Row],[Deposit%]],"")</f>
        <v/>
      </c>
      <c r="V10" s="129" t="str">
        <f>IF(cf_sales[[#This Row],[Travel (Days)]]="","",30)</f>
        <v/>
      </c>
      <c r="W10" s="129" t="str">
        <f>IF(cf_sales[[#This Row],[Transport Terms]]="","",(_xlfn.XLOOKUP(cf_sales[[#This Row],[Deal No.]],transport_cost[Deal No.],transport_cost[Price],"",0,1))*cf_sales[[#This Row],[Quantity]])</f>
        <v/>
      </c>
      <c r="X10" s="129">
        <f>IFERROR(IF('Ad Hoc Cost'!$T$4=0,"",'Ad Hoc Cost'!$D$17*cf_sales[[#This Row],[Quantity]]),"")</f>
        <v>0</v>
      </c>
      <c r="Y10" s="130" t="str">
        <f>IF(cf_sales[[#This Row],[Uplift (Days)]]&lt;&gt;"",ROUNDUP(cf_sales[[#This Row],[Uplift (Days)]]/7,0),"")</f>
        <v/>
      </c>
      <c r="Z10" s="130" t="str">
        <f>IF(cf_sales[[#This Row],[Uplift (Days)]]&lt;&gt;"",ROUNDUP(cf_sales[[#This Row],[Uplift (Days)]]/7,0),"")</f>
        <v/>
      </c>
      <c r="AA10" s="130" t="str">
        <f>IF(cf_sales[[#This Row],[Uplift (Days)]]&lt;&gt;"",ROUNDUP(cf_sales[[#This Row],[Uplift (Days)]]/7,0),"")</f>
        <v/>
      </c>
      <c r="AB10" s="124" t="str">
        <f>IF(cf_sales[[#This Row],[Quantity]]&lt;&gt;"",cf_sales[[#This Row],[Quantity]]/cf_sales[[#This Row],[Weeks to Uplift]],"")</f>
        <v/>
      </c>
      <c r="AC10" s="129" t="str">
        <f>IF(cf_sales[[#This Row],[Sales Price]]&lt;&gt;"",cf_sales[[#This Row],[Balance Amount]]/cf_sales[[#This Row],[Weeks to Uplift]],"")</f>
        <v/>
      </c>
      <c r="AD10" s="129" t="str">
        <f>IF(cf_sales[[#This Row],[Transport Amount]]&lt;&gt;"",cf_sales[[#This Row],[Transport Amount]]/cf_sales[[#This Row],[Weeks to Uplift]],"")</f>
        <v/>
      </c>
      <c r="AE10" s="129" t="e">
        <f>IF(cf_sales[[#This Row],[Adhoc Amount]]&lt;&gt;"",cf_sales[[#This Row],[Adhoc Amount]]/cf_sales[[#This Row],[Weeks to Uplift]],"")</f>
        <v>#VALUE!</v>
      </c>
      <c r="AF10" s="131" t="str">
        <f>IFERROR(DATE(cf_sales[[#This Row],[Year Upl 1st]], 1, -2) - WEEKDAY(DATE(cf_sales[[#This Row],[Year Upl 1st]], 1, 3)) + cf_sales[[#This Row],[IsoW Upl 1st]] * 7,"")</f>
        <v/>
      </c>
      <c r="AG10" s="131" t="str">
        <f>IFERROR(cf_sales[[#This Row],[1st Uplift]]+(cf_sales[[#This Row],[Weeks to Uplift]]*7-1),"")</f>
        <v/>
      </c>
      <c r="AH10" s="131" t="str">
        <f>IF(cf_sales[[#This Row],[Uplift Start]]&lt;&gt;"",cf_sales[[#This Row],[Uplift Start]]+cf_sales[[#This Row],[Travel (Days)]],"")</f>
        <v/>
      </c>
      <c r="AI10" s="126" t="str">
        <f>IFERROR(DATE(cf_sales[[#This Row],[Year Del 1st]], 1, -2) - WEEKDAY(DATE(cf_sales[[#This Row],[Year Del 1st]], 1, 3)) + cf_sales[[#This Row],[IsoW Del 1st]] * 7,"")</f>
        <v/>
      </c>
      <c r="AJ10" s="126" t="str">
        <f>IFERROR(cf_sales[[#This Row],[1st Delivery]]+(cf_sales[[#This Row],[Weeks to Uplift]]*7-1),"")</f>
        <v/>
      </c>
      <c r="AK10" s="126" t="str">
        <f>IF(cf_sales[[#This Row],[Weeks to Uplift]]&lt;&gt;"",cf_sales[[#This Row],[Delivery Date]]+cf_sales[[#This Row],[Terms (Days)]],"")</f>
        <v/>
      </c>
      <c r="AL10" s="126" t="str">
        <f>IFERROR(DATE(cf_sales[[#This Row],[Year Bal 1st]], 1, -2) - WEEKDAY(DATE(cf_sales[[#This Row],[Year Bal 1st]], 1, 3)) + cf_sales[[#This Row],[IsoW Bal 1st]] * 7,"")</f>
        <v/>
      </c>
      <c r="AM10" s="126" t="str">
        <f>IFERROR(cf_sales[[#This Row],[1st Payment]]+(cf_sales[[#This Row],[Weeks to Uplift]]*7-1),"")</f>
        <v/>
      </c>
      <c r="AN10" s="126" t="str">
        <f>IF(cf_sales[[#This Row],[Weeks to Uplift]]&lt;&gt;"",cf_sales[[#This Row],[Delivery Date]]+cf_sales[[#This Row],[Transport Terms]],"")</f>
        <v/>
      </c>
      <c r="AO10" s="126" t="str">
        <f>IFERROR(DATE(cf_sales[[#This Row],[Year Trsp 1st]], 1, -2) - WEEKDAY(DATE(cf_sales[[#This Row],[Year Trsp 1st]], 1, 3)) + cf_sales[[#This Row],[IsoW Trsp 1st]] * 7,"")</f>
        <v/>
      </c>
      <c r="AP10" s="126" t="str">
        <f>IFERROR(cf_sales[[#This Row],[1st Transport]]+(cf_sales[[#This Row],[Weeks to Uplift]]*7-1),"")</f>
        <v/>
      </c>
      <c r="AQ10" s="127" t="str">
        <f>IF(cf_sales[[#This Row],[Deposit Date]]&lt;&gt;"",_xlfn.ISOWEEKNUM(cf_sales[[#This Row],[Deposit Date]]),"")</f>
        <v/>
      </c>
      <c r="AR10" s="132" t="str">
        <f>IF(cf_sales[[#This Row],[Uplift Start]]&lt;&gt;"",_xlfn.ISOWEEKNUM(cf_sales[[#This Row],[Uplift Start]]),"")</f>
        <v/>
      </c>
      <c r="AS10" s="132" t="str">
        <f>IF(cf_sales[[#This Row],[Weeks to Uplift]]&lt;&gt;"",cf_sales[[#This Row],[IsoW Upl 1st]]+cf_sales[[#This Row],[Weeks to Uplift]]-1,"")</f>
        <v/>
      </c>
      <c r="AT10" s="127" t="str">
        <f>IF(cf_sales[[#This Row],[Delivery Date]]&lt;&gt;"",_xlfn.ISOWEEKNUM(cf_sales[[#This Row],[Delivery Date]]),"")</f>
        <v/>
      </c>
      <c r="AU10" s="127" t="str">
        <f>IF(cf_sales[[#This Row],[Final Delivery]]&lt;&gt;"",_xlfn.ISOWEEKNUM(cf_sales[[#This Row],[Final Delivery]]),"")</f>
        <v/>
      </c>
      <c r="AV10" s="127" t="str">
        <f>IF(cf_sales[[#This Row],[Payment Date]]&lt;&gt;"",_xlfn.ISOWEEKNUM(cf_sales[[#This Row],[Payment Date]]),"")</f>
        <v/>
      </c>
      <c r="AW10" s="127" t="str">
        <f>IF(cf_sales[[#This Row],[Final Payment]]&lt;&gt;"",_xlfn.ISOWEEKNUM(cf_sales[[#This Row],[Final Payment]]),"")</f>
        <v/>
      </c>
      <c r="AX10" s="127" t="str">
        <f>IF(cf_sales[[#This Row],[Transport Date]]&lt;&gt;"",_xlfn.ISOWEEKNUM(cf_sales[[#This Row],[Transport Date]]),"")</f>
        <v/>
      </c>
      <c r="AY10" s="127" t="str">
        <f>IF(cf_sales[[#This Row],[Last Transport]]&lt;&gt;"",_xlfn.ISOWEEKNUM(cf_sales[[#This Row],[Last Transport]]),"")</f>
        <v/>
      </c>
      <c r="AZ10" s="127" t="str">
        <f>IF(cf_sales[[#This Row],[Deposit Date]]&lt;&gt;"",YEAR(cf_sales[[#This Row],[Deposit Date]]),"")</f>
        <v/>
      </c>
      <c r="BA10" s="132" t="str">
        <f>IF(cf_sales[[#This Row],[Uplift Start]]&lt;&gt;"",YEAR(cf_sales[[#This Row],[Uplift Start]]),"")</f>
        <v/>
      </c>
      <c r="BB10" s="132" t="str">
        <f>IF(cf_sales[[#This Row],[Final Uplift]]&lt;&gt;"",YEAR(cf_sales[[#This Row],[Final Uplift]]),"")</f>
        <v/>
      </c>
      <c r="BC10" s="127" t="str">
        <f>IF(cf_sales[[#This Row],[Delivery Date]]&lt;&gt;"",YEAR(cf_sales[[#This Row],[Delivery Date]]),"")</f>
        <v/>
      </c>
      <c r="BD10" s="127" t="str">
        <f>IF(cf_sales[[#This Row],[Final Delivery]]&lt;&gt;"",YEAR(cf_sales[[#This Row],[Final Delivery]]),"")</f>
        <v/>
      </c>
      <c r="BE10" s="127" t="str">
        <f>IF(cf_sales[[#This Row],[Payment Date]]&lt;&gt;"",YEAR(cf_sales[[#This Row],[Payment Date]]),"")</f>
        <v/>
      </c>
      <c r="BF10" s="127" t="str">
        <f>IF(cf_sales[[#This Row],[Final Payment]]&lt;&gt;"",YEAR(cf_sales[[#This Row],[Final Payment]]),"")</f>
        <v/>
      </c>
      <c r="BG10" s="127" t="str">
        <f>IF(cf_sales[[#This Row],[Transport Date]]&lt;&gt;"",YEAR(cf_sales[[#This Row],[Transport Date]]),"")</f>
        <v/>
      </c>
      <c r="BH10" s="127" t="str">
        <f>IF(cf_sales[[#This Row],[Last Transport]]&lt;&gt;"",YEAR(cf_sales[[#This Row],[Last Transport]]),"")</f>
        <v/>
      </c>
      <c r="BI10" s="111"/>
      <c r="BJ10" s="111"/>
    </row>
    <row r="11" spans="2:62" ht="15.75" customHeight="1" x14ac:dyDescent="0.25">
      <c r="B11" s="332"/>
      <c r="C11" s="333"/>
      <c r="D11" s="333"/>
      <c r="E11" s="333"/>
      <c r="F11" s="334"/>
      <c r="G11" s="112"/>
      <c r="H11" s="134"/>
      <c r="I11" s="134"/>
      <c r="J11" s="135"/>
      <c r="K11" s="138"/>
      <c r="L11" s="137"/>
      <c r="M11" s="133"/>
      <c r="N11" s="133"/>
      <c r="O11" s="139"/>
      <c r="P11" s="139"/>
      <c r="Q11" s="139"/>
      <c r="R11" s="125" t="str">
        <f>IF(cf_sales[[#This Row],[Deposit%]]&lt;&gt;"",1-cf_sales[[#This Row],[Deposit%]],"")</f>
        <v/>
      </c>
      <c r="S11" s="128" t="str">
        <f>IF(cf_sales[[#This Row],[Sales Price]]&lt;&gt;"",cf_sales[[#This Row],[Quantity]]*cf_sales[[#This Row],[Sales Price]],"")</f>
        <v/>
      </c>
      <c r="T11" s="129" t="str">
        <f>IF(cf_sales[[#This Row],[Sales Price]]&lt;&gt;"",cf_sales[[#This Row],[Quantity]]*cf_sales[[#This Row],[Sales Price]]*cf_sales[[#This Row],[Balance%]],"")</f>
        <v/>
      </c>
      <c r="U11" s="129" t="str">
        <f>IF(cf_sales[[#This Row],[Deposit%]]&lt;&gt;0,cf_sales[[#This Row],[Total Amount]]*cf_sales[[#This Row],[Deposit%]],"")</f>
        <v/>
      </c>
      <c r="V11" s="129" t="str">
        <f>IF(cf_sales[[#This Row],[Travel (Days)]]="","",30)</f>
        <v/>
      </c>
      <c r="W11" s="129" t="str">
        <f>IF(cf_sales[[#This Row],[Transport Terms]]="","",(_xlfn.XLOOKUP(cf_sales[[#This Row],[Deal No.]],transport_cost[Deal No.],transport_cost[Price],"",0,1))*cf_sales[[#This Row],[Quantity]])</f>
        <v/>
      </c>
      <c r="X11" s="129">
        <f>IFERROR(IF('Ad Hoc Cost'!$T$4=0,"",'Ad Hoc Cost'!$D$17*cf_sales[[#This Row],[Quantity]]),"")</f>
        <v>0</v>
      </c>
      <c r="Y11" s="130" t="str">
        <f>IF(cf_sales[[#This Row],[Uplift (Days)]]&lt;&gt;"",ROUNDUP(cf_sales[[#This Row],[Uplift (Days)]]/7,0),"")</f>
        <v/>
      </c>
      <c r="Z11" s="130" t="str">
        <f>IF(cf_sales[[#This Row],[Uplift (Days)]]&lt;&gt;"",ROUNDUP(cf_sales[[#This Row],[Uplift (Days)]]/7,0),"")</f>
        <v/>
      </c>
      <c r="AA11" s="130" t="str">
        <f>IF(cf_sales[[#This Row],[Uplift (Days)]]&lt;&gt;"",ROUNDUP(cf_sales[[#This Row],[Uplift (Days)]]/7,0),"")</f>
        <v/>
      </c>
      <c r="AB11" s="124" t="str">
        <f>IF(cf_sales[[#This Row],[Quantity]]&lt;&gt;"",cf_sales[[#This Row],[Quantity]]/cf_sales[[#This Row],[Weeks to Uplift]],"")</f>
        <v/>
      </c>
      <c r="AC11" s="129" t="str">
        <f>IF(cf_sales[[#This Row],[Sales Price]]&lt;&gt;"",cf_sales[[#This Row],[Balance Amount]]/cf_sales[[#This Row],[Weeks to Uplift]],"")</f>
        <v/>
      </c>
      <c r="AD11" s="129" t="str">
        <f>IF(cf_sales[[#This Row],[Transport Amount]]&lt;&gt;"",cf_sales[[#This Row],[Transport Amount]]/cf_sales[[#This Row],[Weeks to Uplift]],"")</f>
        <v/>
      </c>
      <c r="AE11" s="129" t="e">
        <f>IF(cf_sales[[#This Row],[Adhoc Amount]]&lt;&gt;"",cf_sales[[#This Row],[Adhoc Amount]]/cf_sales[[#This Row],[Weeks to Uplift]],"")</f>
        <v>#VALUE!</v>
      </c>
      <c r="AF11" s="131" t="str">
        <f>IFERROR(DATE(cf_sales[[#This Row],[Year Upl 1st]], 1, -2) - WEEKDAY(DATE(cf_sales[[#This Row],[Year Upl 1st]], 1, 3)) + cf_sales[[#This Row],[IsoW Upl 1st]] * 7,"")</f>
        <v/>
      </c>
      <c r="AG11" s="131" t="str">
        <f>IFERROR(cf_sales[[#This Row],[1st Uplift]]+(cf_sales[[#This Row],[Weeks to Uplift]]*7-1),"")</f>
        <v/>
      </c>
      <c r="AH11" s="131" t="str">
        <f>IF(cf_sales[[#This Row],[Uplift Start]]&lt;&gt;"",cf_sales[[#This Row],[Uplift Start]]+cf_sales[[#This Row],[Travel (Days)]],"")</f>
        <v/>
      </c>
      <c r="AI11" s="126" t="str">
        <f>IFERROR(DATE(cf_sales[[#This Row],[Year Del 1st]], 1, -2) - WEEKDAY(DATE(cf_sales[[#This Row],[Year Del 1st]], 1, 3)) + cf_sales[[#This Row],[IsoW Del 1st]] * 7,"")</f>
        <v/>
      </c>
      <c r="AJ11" s="126" t="str">
        <f>IFERROR(cf_sales[[#This Row],[1st Delivery]]+(cf_sales[[#This Row],[Weeks to Uplift]]*7-1),"")</f>
        <v/>
      </c>
      <c r="AK11" s="126" t="str">
        <f>IF(cf_sales[[#This Row],[Weeks to Uplift]]&lt;&gt;"",cf_sales[[#This Row],[Delivery Date]]+cf_sales[[#This Row],[Terms (Days)]],"")</f>
        <v/>
      </c>
      <c r="AL11" s="126" t="str">
        <f>IFERROR(DATE(cf_sales[[#This Row],[Year Bal 1st]], 1, -2) - WEEKDAY(DATE(cf_sales[[#This Row],[Year Bal 1st]], 1, 3)) + cf_sales[[#This Row],[IsoW Bal 1st]] * 7,"")</f>
        <v/>
      </c>
      <c r="AM11" s="126" t="str">
        <f>IFERROR(cf_sales[[#This Row],[1st Payment]]+(cf_sales[[#This Row],[Weeks to Uplift]]*7-1),"")</f>
        <v/>
      </c>
      <c r="AN11" s="126" t="str">
        <f>IF(cf_sales[[#This Row],[Weeks to Uplift]]&lt;&gt;"",cf_sales[[#This Row],[Delivery Date]]+cf_sales[[#This Row],[Transport Terms]],"")</f>
        <v/>
      </c>
      <c r="AO11" s="126" t="str">
        <f>IFERROR(DATE(cf_sales[[#This Row],[Year Trsp 1st]], 1, -2) - WEEKDAY(DATE(cf_sales[[#This Row],[Year Trsp 1st]], 1, 3)) + cf_sales[[#This Row],[IsoW Trsp 1st]] * 7,"")</f>
        <v/>
      </c>
      <c r="AP11" s="126" t="str">
        <f>IFERROR(cf_sales[[#This Row],[1st Transport]]+(cf_sales[[#This Row],[Weeks to Uplift]]*7-1),"")</f>
        <v/>
      </c>
      <c r="AQ11" s="127" t="str">
        <f>IF(cf_sales[[#This Row],[Deposit Date]]&lt;&gt;"",_xlfn.ISOWEEKNUM(cf_sales[[#This Row],[Deposit Date]]),"")</f>
        <v/>
      </c>
      <c r="AR11" s="132" t="str">
        <f>IF(cf_sales[[#This Row],[Uplift Start]]&lt;&gt;"",_xlfn.ISOWEEKNUM(cf_sales[[#This Row],[Uplift Start]]),"")</f>
        <v/>
      </c>
      <c r="AS11" s="132" t="str">
        <f>IF(cf_sales[[#This Row],[Weeks to Uplift]]&lt;&gt;"",cf_sales[[#This Row],[IsoW Upl 1st]]+cf_sales[[#This Row],[Weeks to Uplift]]-1,"")</f>
        <v/>
      </c>
      <c r="AT11" s="127" t="str">
        <f>IF(cf_sales[[#This Row],[Delivery Date]]&lt;&gt;"",_xlfn.ISOWEEKNUM(cf_sales[[#This Row],[Delivery Date]]),"")</f>
        <v/>
      </c>
      <c r="AU11" s="127" t="str">
        <f>IF(cf_sales[[#This Row],[Final Delivery]]&lt;&gt;"",_xlfn.ISOWEEKNUM(cf_sales[[#This Row],[Final Delivery]]),"")</f>
        <v/>
      </c>
      <c r="AV11" s="127" t="str">
        <f>IF(cf_sales[[#This Row],[Payment Date]]&lt;&gt;"",_xlfn.ISOWEEKNUM(cf_sales[[#This Row],[Payment Date]]),"")</f>
        <v/>
      </c>
      <c r="AW11" s="127" t="str">
        <f>IF(cf_sales[[#This Row],[Final Payment]]&lt;&gt;"",_xlfn.ISOWEEKNUM(cf_sales[[#This Row],[Final Payment]]),"")</f>
        <v/>
      </c>
      <c r="AX11" s="127" t="str">
        <f>IF(cf_sales[[#This Row],[Transport Date]]&lt;&gt;"",_xlfn.ISOWEEKNUM(cf_sales[[#This Row],[Transport Date]]),"")</f>
        <v/>
      </c>
      <c r="AY11" s="127" t="str">
        <f>IF(cf_sales[[#This Row],[Last Transport]]&lt;&gt;"",_xlfn.ISOWEEKNUM(cf_sales[[#This Row],[Last Transport]]),"")</f>
        <v/>
      </c>
      <c r="AZ11" s="127" t="str">
        <f>IF(cf_sales[[#This Row],[Deposit Date]]&lt;&gt;"",YEAR(cf_sales[[#This Row],[Deposit Date]]),"")</f>
        <v/>
      </c>
      <c r="BA11" s="132" t="str">
        <f>IF(cf_sales[[#This Row],[Uplift Start]]&lt;&gt;"",YEAR(cf_sales[[#This Row],[Uplift Start]]),"")</f>
        <v/>
      </c>
      <c r="BB11" s="132" t="str">
        <f>IF(cf_sales[[#This Row],[Final Uplift]]&lt;&gt;"",YEAR(cf_sales[[#This Row],[Final Uplift]]),"")</f>
        <v/>
      </c>
      <c r="BC11" s="127" t="str">
        <f>IF(cf_sales[[#This Row],[Delivery Date]]&lt;&gt;"",YEAR(cf_sales[[#This Row],[Delivery Date]]),"")</f>
        <v/>
      </c>
      <c r="BD11" s="127" t="str">
        <f>IF(cf_sales[[#This Row],[Final Delivery]]&lt;&gt;"",YEAR(cf_sales[[#This Row],[Final Delivery]]),"")</f>
        <v/>
      </c>
      <c r="BE11" s="127" t="str">
        <f>IF(cf_sales[[#This Row],[Payment Date]]&lt;&gt;"",YEAR(cf_sales[[#This Row],[Payment Date]]),"")</f>
        <v/>
      </c>
      <c r="BF11" s="127" t="str">
        <f>IF(cf_sales[[#This Row],[Final Payment]]&lt;&gt;"",YEAR(cf_sales[[#This Row],[Final Payment]]),"")</f>
        <v/>
      </c>
      <c r="BG11" s="127" t="str">
        <f>IF(cf_sales[[#This Row],[Transport Date]]&lt;&gt;"",YEAR(cf_sales[[#This Row],[Transport Date]]),"")</f>
        <v/>
      </c>
      <c r="BH11" s="127" t="str">
        <f>IF(cf_sales[[#This Row],[Last Transport]]&lt;&gt;"",YEAR(cf_sales[[#This Row],[Last Transport]]),"")</f>
        <v/>
      </c>
      <c r="BI11" s="111"/>
      <c r="BJ11" s="111"/>
    </row>
    <row r="12" spans="2:62" ht="15.75" customHeight="1" x14ac:dyDescent="0.25">
      <c r="B12" s="332"/>
      <c r="C12" s="333"/>
      <c r="D12" s="333"/>
      <c r="E12" s="333"/>
      <c r="F12" s="334"/>
      <c r="G12" s="112"/>
      <c r="H12" s="134"/>
      <c r="I12" s="134"/>
      <c r="J12" s="135"/>
      <c r="K12" s="138"/>
      <c r="L12" s="137"/>
      <c r="M12" s="133"/>
      <c r="N12" s="133"/>
      <c r="O12" s="139"/>
      <c r="P12" s="139"/>
      <c r="Q12" s="139"/>
      <c r="R12" s="125" t="str">
        <f>IF(cf_sales[[#This Row],[Deposit%]]&lt;&gt;"",1-cf_sales[[#This Row],[Deposit%]],"")</f>
        <v/>
      </c>
      <c r="S12" s="128" t="str">
        <f>IF(cf_sales[[#This Row],[Sales Price]]&lt;&gt;"",cf_sales[[#This Row],[Quantity]]*cf_sales[[#This Row],[Sales Price]],"")</f>
        <v/>
      </c>
      <c r="T12" s="129" t="str">
        <f>IF(cf_sales[[#This Row],[Sales Price]]&lt;&gt;"",cf_sales[[#This Row],[Quantity]]*cf_sales[[#This Row],[Sales Price]]*cf_sales[[#This Row],[Balance%]],"")</f>
        <v/>
      </c>
      <c r="U12" s="129" t="str">
        <f>IF(cf_sales[[#This Row],[Deposit%]]&lt;&gt;0,cf_sales[[#This Row],[Total Amount]]*cf_sales[[#This Row],[Deposit%]],"")</f>
        <v/>
      </c>
      <c r="V12" s="129" t="str">
        <f>IF(cf_sales[[#This Row],[Travel (Days)]]="","",30)</f>
        <v/>
      </c>
      <c r="W12" s="129" t="str">
        <f>IF(cf_sales[[#This Row],[Transport Terms]]="","",(_xlfn.XLOOKUP(cf_sales[[#This Row],[Deal No.]],transport_cost[Deal No.],transport_cost[Price],"",0,1))*cf_sales[[#This Row],[Quantity]])</f>
        <v/>
      </c>
      <c r="X12" s="129">
        <f>IFERROR(IF('Ad Hoc Cost'!$T$4=0,"",'Ad Hoc Cost'!$D$17*cf_sales[[#This Row],[Quantity]]),"")</f>
        <v>0</v>
      </c>
      <c r="Y12" s="130" t="str">
        <f>IF(cf_sales[[#This Row],[Uplift (Days)]]&lt;&gt;"",ROUNDUP(cf_sales[[#This Row],[Uplift (Days)]]/7,0),"")</f>
        <v/>
      </c>
      <c r="Z12" s="130" t="str">
        <f>IF(cf_sales[[#This Row],[Uplift (Days)]]&lt;&gt;"",ROUNDUP(cf_sales[[#This Row],[Uplift (Days)]]/7,0),"")</f>
        <v/>
      </c>
      <c r="AA12" s="130" t="str">
        <f>IF(cf_sales[[#This Row],[Uplift (Days)]]&lt;&gt;"",ROUNDUP(cf_sales[[#This Row],[Uplift (Days)]]/7,0),"")</f>
        <v/>
      </c>
      <c r="AB12" s="124" t="str">
        <f>IF(cf_sales[[#This Row],[Quantity]]&lt;&gt;"",cf_sales[[#This Row],[Quantity]]/cf_sales[[#This Row],[Weeks to Uplift]],"")</f>
        <v/>
      </c>
      <c r="AC12" s="129" t="str">
        <f>IF(cf_sales[[#This Row],[Sales Price]]&lt;&gt;"",cf_sales[[#This Row],[Balance Amount]]/cf_sales[[#This Row],[Weeks to Uplift]],"")</f>
        <v/>
      </c>
      <c r="AD12" s="129" t="str">
        <f>IF(cf_sales[[#This Row],[Transport Amount]]&lt;&gt;"",cf_sales[[#This Row],[Transport Amount]]/cf_sales[[#This Row],[Weeks to Uplift]],"")</f>
        <v/>
      </c>
      <c r="AE12" s="129" t="e">
        <f>IF(cf_sales[[#This Row],[Adhoc Amount]]&lt;&gt;"",cf_sales[[#This Row],[Adhoc Amount]]/cf_sales[[#This Row],[Weeks to Uplift]],"")</f>
        <v>#VALUE!</v>
      </c>
      <c r="AF12" s="131" t="str">
        <f>IFERROR(DATE(cf_sales[[#This Row],[Year Upl 1st]], 1, -2) - WEEKDAY(DATE(cf_sales[[#This Row],[Year Upl 1st]], 1, 3)) + cf_sales[[#This Row],[IsoW Upl 1st]] * 7,"")</f>
        <v/>
      </c>
      <c r="AG12" s="131" t="str">
        <f>IFERROR(cf_sales[[#This Row],[1st Uplift]]+(cf_sales[[#This Row],[Weeks to Uplift]]*7-1),"")</f>
        <v/>
      </c>
      <c r="AH12" s="131" t="str">
        <f>IF(cf_sales[[#This Row],[Uplift Start]]&lt;&gt;"",cf_sales[[#This Row],[Uplift Start]]+cf_sales[[#This Row],[Travel (Days)]],"")</f>
        <v/>
      </c>
      <c r="AI12" s="126" t="str">
        <f>IFERROR(DATE(cf_sales[[#This Row],[Year Del 1st]], 1, -2) - WEEKDAY(DATE(cf_sales[[#This Row],[Year Del 1st]], 1, 3)) + cf_sales[[#This Row],[IsoW Del 1st]] * 7,"")</f>
        <v/>
      </c>
      <c r="AJ12" s="126" t="str">
        <f>IFERROR(cf_sales[[#This Row],[1st Delivery]]+(cf_sales[[#This Row],[Weeks to Uplift]]*7-1),"")</f>
        <v/>
      </c>
      <c r="AK12" s="126" t="str">
        <f>IF(cf_sales[[#This Row],[Weeks to Uplift]]&lt;&gt;"",cf_sales[[#This Row],[Delivery Date]]+cf_sales[[#This Row],[Terms (Days)]],"")</f>
        <v/>
      </c>
      <c r="AL12" s="126" t="str">
        <f>IFERROR(DATE(cf_sales[[#This Row],[Year Bal 1st]], 1, -2) - WEEKDAY(DATE(cf_sales[[#This Row],[Year Bal 1st]], 1, 3)) + cf_sales[[#This Row],[IsoW Bal 1st]] * 7,"")</f>
        <v/>
      </c>
      <c r="AM12" s="126" t="str">
        <f>IFERROR(cf_sales[[#This Row],[1st Payment]]+(cf_sales[[#This Row],[Weeks to Uplift]]*7-1),"")</f>
        <v/>
      </c>
      <c r="AN12" s="126" t="str">
        <f>IF(cf_sales[[#This Row],[Weeks to Uplift]]&lt;&gt;"",cf_sales[[#This Row],[Delivery Date]]+cf_sales[[#This Row],[Transport Terms]],"")</f>
        <v/>
      </c>
      <c r="AO12" s="126" t="str">
        <f>IFERROR(DATE(cf_sales[[#This Row],[Year Trsp 1st]], 1, -2) - WEEKDAY(DATE(cf_sales[[#This Row],[Year Trsp 1st]], 1, 3)) + cf_sales[[#This Row],[IsoW Trsp 1st]] * 7,"")</f>
        <v/>
      </c>
      <c r="AP12" s="126" t="str">
        <f>IFERROR(cf_sales[[#This Row],[1st Transport]]+(cf_sales[[#This Row],[Weeks to Uplift]]*7-1),"")</f>
        <v/>
      </c>
      <c r="AQ12" s="127" t="str">
        <f>IF(cf_sales[[#This Row],[Deposit Date]]&lt;&gt;"",_xlfn.ISOWEEKNUM(cf_sales[[#This Row],[Deposit Date]]),"")</f>
        <v/>
      </c>
      <c r="AR12" s="132" t="str">
        <f>IF(cf_sales[[#This Row],[Uplift Start]]&lt;&gt;"",_xlfn.ISOWEEKNUM(cf_sales[[#This Row],[Uplift Start]]),"")</f>
        <v/>
      </c>
      <c r="AS12" s="132" t="str">
        <f>IF(cf_sales[[#This Row],[Weeks to Uplift]]&lt;&gt;"",cf_sales[[#This Row],[IsoW Upl 1st]]+cf_sales[[#This Row],[Weeks to Uplift]]-1,"")</f>
        <v/>
      </c>
      <c r="AT12" s="127" t="str">
        <f>IF(cf_sales[[#This Row],[Delivery Date]]&lt;&gt;"",_xlfn.ISOWEEKNUM(cf_sales[[#This Row],[Delivery Date]]),"")</f>
        <v/>
      </c>
      <c r="AU12" s="127" t="str">
        <f>IF(cf_sales[[#This Row],[Final Delivery]]&lt;&gt;"",_xlfn.ISOWEEKNUM(cf_sales[[#This Row],[Final Delivery]]),"")</f>
        <v/>
      </c>
      <c r="AV12" s="127" t="str">
        <f>IF(cf_sales[[#This Row],[Payment Date]]&lt;&gt;"",_xlfn.ISOWEEKNUM(cf_sales[[#This Row],[Payment Date]]),"")</f>
        <v/>
      </c>
      <c r="AW12" s="127" t="str">
        <f>IF(cf_sales[[#This Row],[Final Payment]]&lt;&gt;"",_xlfn.ISOWEEKNUM(cf_sales[[#This Row],[Final Payment]]),"")</f>
        <v/>
      </c>
      <c r="AX12" s="127" t="str">
        <f>IF(cf_sales[[#This Row],[Transport Date]]&lt;&gt;"",_xlfn.ISOWEEKNUM(cf_sales[[#This Row],[Transport Date]]),"")</f>
        <v/>
      </c>
      <c r="AY12" s="127" t="str">
        <f>IF(cf_sales[[#This Row],[Last Transport]]&lt;&gt;"",_xlfn.ISOWEEKNUM(cf_sales[[#This Row],[Last Transport]]),"")</f>
        <v/>
      </c>
      <c r="AZ12" s="127" t="str">
        <f>IF(cf_sales[[#This Row],[Deposit Date]]&lt;&gt;"",YEAR(cf_sales[[#This Row],[Deposit Date]]),"")</f>
        <v/>
      </c>
      <c r="BA12" s="132" t="str">
        <f>IF(cf_sales[[#This Row],[Uplift Start]]&lt;&gt;"",YEAR(cf_sales[[#This Row],[Uplift Start]]),"")</f>
        <v/>
      </c>
      <c r="BB12" s="132" t="str">
        <f>IF(cf_sales[[#This Row],[Final Uplift]]&lt;&gt;"",YEAR(cf_sales[[#This Row],[Final Uplift]]),"")</f>
        <v/>
      </c>
      <c r="BC12" s="127" t="str">
        <f>IF(cf_sales[[#This Row],[Delivery Date]]&lt;&gt;"",YEAR(cf_sales[[#This Row],[Delivery Date]]),"")</f>
        <v/>
      </c>
      <c r="BD12" s="127" t="str">
        <f>IF(cf_sales[[#This Row],[Final Delivery]]&lt;&gt;"",YEAR(cf_sales[[#This Row],[Final Delivery]]),"")</f>
        <v/>
      </c>
      <c r="BE12" s="127" t="str">
        <f>IF(cf_sales[[#This Row],[Payment Date]]&lt;&gt;"",YEAR(cf_sales[[#This Row],[Payment Date]]),"")</f>
        <v/>
      </c>
      <c r="BF12" s="127" t="str">
        <f>IF(cf_sales[[#This Row],[Final Payment]]&lt;&gt;"",YEAR(cf_sales[[#This Row],[Final Payment]]),"")</f>
        <v/>
      </c>
      <c r="BG12" s="127" t="str">
        <f>IF(cf_sales[[#This Row],[Transport Date]]&lt;&gt;"",YEAR(cf_sales[[#This Row],[Transport Date]]),"")</f>
        <v/>
      </c>
      <c r="BH12" s="127" t="str">
        <f>IF(cf_sales[[#This Row],[Last Transport]]&lt;&gt;"",YEAR(cf_sales[[#This Row],[Last Transport]]),"")</f>
        <v/>
      </c>
      <c r="BI12" s="111"/>
      <c r="BJ12" s="111"/>
    </row>
    <row r="13" spans="2:62" ht="15.75" customHeight="1" x14ac:dyDescent="0.25">
      <c r="B13" s="332"/>
      <c r="C13" s="333"/>
      <c r="D13" s="333"/>
      <c r="E13" s="333"/>
      <c r="F13" s="334"/>
      <c r="G13" s="112"/>
      <c r="H13" s="134"/>
      <c r="I13" s="134"/>
      <c r="J13" s="135"/>
      <c r="K13" s="138"/>
      <c r="L13" s="137"/>
      <c r="M13" s="133"/>
      <c r="N13" s="133"/>
      <c r="O13" s="139"/>
      <c r="P13" s="139"/>
      <c r="Q13" s="139"/>
      <c r="R13" s="125" t="str">
        <f>IF(cf_sales[[#This Row],[Deposit%]]&lt;&gt;"",1-cf_sales[[#This Row],[Deposit%]],"")</f>
        <v/>
      </c>
      <c r="S13" s="128" t="str">
        <f>IF(cf_sales[[#This Row],[Sales Price]]&lt;&gt;"",cf_sales[[#This Row],[Quantity]]*cf_sales[[#This Row],[Sales Price]],"")</f>
        <v/>
      </c>
      <c r="T13" s="129" t="str">
        <f>IF(cf_sales[[#This Row],[Sales Price]]&lt;&gt;"",cf_sales[[#This Row],[Quantity]]*cf_sales[[#This Row],[Sales Price]]*cf_sales[[#This Row],[Balance%]],"")</f>
        <v/>
      </c>
      <c r="U13" s="129" t="str">
        <f>IF(cf_sales[[#This Row],[Deposit%]]&lt;&gt;0,cf_sales[[#This Row],[Total Amount]]*cf_sales[[#This Row],[Deposit%]],"")</f>
        <v/>
      </c>
      <c r="V13" s="129" t="str">
        <f>IF(cf_sales[[#This Row],[Travel (Days)]]="","",30)</f>
        <v/>
      </c>
      <c r="W13" s="129" t="str">
        <f>IF(cf_sales[[#This Row],[Transport Terms]]="","",(_xlfn.XLOOKUP(cf_sales[[#This Row],[Deal No.]],transport_cost[Deal No.],transport_cost[Price],"",0,1))*cf_sales[[#This Row],[Quantity]])</f>
        <v/>
      </c>
      <c r="X13" s="129">
        <f>IFERROR(IF('Ad Hoc Cost'!$T$4=0,"",'Ad Hoc Cost'!$D$17*cf_sales[[#This Row],[Quantity]]),"")</f>
        <v>0</v>
      </c>
      <c r="Y13" s="130" t="str">
        <f>IF(cf_sales[[#This Row],[Uplift (Days)]]&lt;&gt;"",ROUNDUP(cf_sales[[#This Row],[Uplift (Days)]]/7,0),"")</f>
        <v/>
      </c>
      <c r="Z13" s="130" t="str">
        <f>IF(cf_sales[[#This Row],[Uplift (Days)]]&lt;&gt;"",ROUNDUP(cf_sales[[#This Row],[Uplift (Days)]]/7,0),"")</f>
        <v/>
      </c>
      <c r="AA13" s="130" t="str">
        <f>IF(cf_sales[[#This Row],[Uplift (Days)]]&lt;&gt;"",ROUNDUP(cf_sales[[#This Row],[Uplift (Days)]]/7,0),"")</f>
        <v/>
      </c>
      <c r="AB13" s="124" t="str">
        <f>IF(cf_sales[[#This Row],[Quantity]]&lt;&gt;"",cf_sales[[#This Row],[Quantity]]/cf_sales[[#This Row],[Weeks to Uplift]],"")</f>
        <v/>
      </c>
      <c r="AC13" s="129" t="str">
        <f>IF(cf_sales[[#This Row],[Sales Price]]&lt;&gt;"",cf_sales[[#This Row],[Balance Amount]]/cf_sales[[#This Row],[Weeks to Uplift]],"")</f>
        <v/>
      </c>
      <c r="AD13" s="129" t="str">
        <f>IF(cf_sales[[#This Row],[Transport Amount]]&lt;&gt;"",cf_sales[[#This Row],[Transport Amount]]/cf_sales[[#This Row],[Weeks to Uplift]],"")</f>
        <v/>
      </c>
      <c r="AE13" s="129" t="e">
        <f>IF(cf_sales[[#This Row],[Adhoc Amount]]&lt;&gt;"",cf_sales[[#This Row],[Adhoc Amount]]/cf_sales[[#This Row],[Weeks to Uplift]],"")</f>
        <v>#VALUE!</v>
      </c>
      <c r="AF13" s="131" t="str">
        <f>IFERROR(DATE(cf_sales[[#This Row],[Year Upl 1st]], 1, -2) - WEEKDAY(DATE(cf_sales[[#This Row],[Year Upl 1st]], 1, 3)) + cf_sales[[#This Row],[IsoW Upl 1st]] * 7,"")</f>
        <v/>
      </c>
      <c r="AG13" s="131" t="str">
        <f>IFERROR(cf_sales[[#This Row],[1st Uplift]]+(cf_sales[[#This Row],[Weeks to Uplift]]*7-1),"")</f>
        <v/>
      </c>
      <c r="AH13" s="131" t="str">
        <f>IF(cf_sales[[#This Row],[Uplift Start]]&lt;&gt;"",cf_sales[[#This Row],[Uplift Start]]+cf_sales[[#This Row],[Travel (Days)]],"")</f>
        <v/>
      </c>
      <c r="AI13" s="126" t="str">
        <f>IFERROR(DATE(cf_sales[[#This Row],[Year Del 1st]], 1, -2) - WEEKDAY(DATE(cf_sales[[#This Row],[Year Del 1st]], 1, 3)) + cf_sales[[#This Row],[IsoW Del 1st]] * 7,"")</f>
        <v/>
      </c>
      <c r="AJ13" s="126" t="str">
        <f>IFERROR(cf_sales[[#This Row],[1st Delivery]]+(cf_sales[[#This Row],[Weeks to Uplift]]*7-1),"")</f>
        <v/>
      </c>
      <c r="AK13" s="126" t="str">
        <f>IF(cf_sales[[#This Row],[Weeks to Uplift]]&lt;&gt;"",cf_sales[[#This Row],[Delivery Date]]+cf_sales[[#This Row],[Terms (Days)]],"")</f>
        <v/>
      </c>
      <c r="AL13" s="126" t="str">
        <f>IFERROR(DATE(cf_sales[[#This Row],[Year Bal 1st]], 1, -2) - WEEKDAY(DATE(cf_sales[[#This Row],[Year Bal 1st]], 1, 3)) + cf_sales[[#This Row],[IsoW Bal 1st]] * 7,"")</f>
        <v/>
      </c>
      <c r="AM13" s="126" t="str">
        <f>IFERROR(cf_sales[[#This Row],[1st Payment]]+(cf_sales[[#This Row],[Weeks to Uplift]]*7-1),"")</f>
        <v/>
      </c>
      <c r="AN13" s="126" t="str">
        <f>IF(cf_sales[[#This Row],[Weeks to Uplift]]&lt;&gt;"",cf_sales[[#This Row],[Delivery Date]]+cf_sales[[#This Row],[Transport Terms]],"")</f>
        <v/>
      </c>
      <c r="AO13" s="126" t="str">
        <f>IFERROR(DATE(cf_sales[[#This Row],[Year Trsp 1st]], 1, -2) - WEEKDAY(DATE(cf_sales[[#This Row],[Year Trsp 1st]], 1, 3)) + cf_sales[[#This Row],[IsoW Trsp 1st]] * 7,"")</f>
        <v/>
      </c>
      <c r="AP13" s="126" t="str">
        <f>IFERROR(cf_sales[[#This Row],[1st Transport]]+(cf_sales[[#This Row],[Weeks to Uplift]]*7-1),"")</f>
        <v/>
      </c>
      <c r="AQ13" s="127" t="str">
        <f>IF(cf_sales[[#This Row],[Deposit Date]]&lt;&gt;"",_xlfn.ISOWEEKNUM(cf_sales[[#This Row],[Deposit Date]]),"")</f>
        <v/>
      </c>
      <c r="AR13" s="132" t="str">
        <f>IF(cf_sales[[#This Row],[Uplift Start]]&lt;&gt;"",_xlfn.ISOWEEKNUM(cf_sales[[#This Row],[Uplift Start]]),"")</f>
        <v/>
      </c>
      <c r="AS13" s="132" t="str">
        <f>IF(cf_sales[[#This Row],[Weeks to Uplift]]&lt;&gt;"",cf_sales[[#This Row],[IsoW Upl 1st]]+cf_sales[[#This Row],[Weeks to Uplift]]-1,"")</f>
        <v/>
      </c>
      <c r="AT13" s="127" t="str">
        <f>IF(cf_sales[[#This Row],[Delivery Date]]&lt;&gt;"",_xlfn.ISOWEEKNUM(cf_sales[[#This Row],[Delivery Date]]),"")</f>
        <v/>
      </c>
      <c r="AU13" s="127" t="str">
        <f>IF(cf_sales[[#This Row],[Final Delivery]]&lt;&gt;"",_xlfn.ISOWEEKNUM(cf_sales[[#This Row],[Final Delivery]]),"")</f>
        <v/>
      </c>
      <c r="AV13" s="127" t="str">
        <f>IF(cf_sales[[#This Row],[Payment Date]]&lt;&gt;"",_xlfn.ISOWEEKNUM(cf_sales[[#This Row],[Payment Date]]),"")</f>
        <v/>
      </c>
      <c r="AW13" s="127" t="str">
        <f>IF(cf_sales[[#This Row],[Final Payment]]&lt;&gt;"",_xlfn.ISOWEEKNUM(cf_sales[[#This Row],[Final Payment]]),"")</f>
        <v/>
      </c>
      <c r="AX13" s="127" t="str">
        <f>IF(cf_sales[[#This Row],[Transport Date]]&lt;&gt;"",_xlfn.ISOWEEKNUM(cf_sales[[#This Row],[Transport Date]]),"")</f>
        <v/>
      </c>
      <c r="AY13" s="127" t="str">
        <f>IF(cf_sales[[#This Row],[Last Transport]]&lt;&gt;"",_xlfn.ISOWEEKNUM(cf_sales[[#This Row],[Last Transport]]),"")</f>
        <v/>
      </c>
      <c r="AZ13" s="127" t="str">
        <f>IF(cf_sales[[#This Row],[Deposit Date]]&lt;&gt;"",YEAR(cf_sales[[#This Row],[Deposit Date]]),"")</f>
        <v/>
      </c>
      <c r="BA13" s="132" t="str">
        <f>IF(cf_sales[[#This Row],[Uplift Start]]&lt;&gt;"",YEAR(cf_sales[[#This Row],[Uplift Start]]),"")</f>
        <v/>
      </c>
      <c r="BB13" s="132" t="str">
        <f>IF(cf_sales[[#This Row],[Final Uplift]]&lt;&gt;"",YEAR(cf_sales[[#This Row],[Final Uplift]]),"")</f>
        <v/>
      </c>
      <c r="BC13" s="127" t="str">
        <f>IF(cf_sales[[#This Row],[Delivery Date]]&lt;&gt;"",YEAR(cf_sales[[#This Row],[Delivery Date]]),"")</f>
        <v/>
      </c>
      <c r="BD13" s="127" t="str">
        <f>IF(cf_sales[[#This Row],[Final Delivery]]&lt;&gt;"",YEAR(cf_sales[[#This Row],[Final Delivery]]),"")</f>
        <v/>
      </c>
      <c r="BE13" s="127" t="str">
        <f>IF(cf_sales[[#This Row],[Payment Date]]&lt;&gt;"",YEAR(cf_sales[[#This Row],[Payment Date]]),"")</f>
        <v/>
      </c>
      <c r="BF13" s="127" t="str">
        <f>IF(cf_sales[[#This Row],[Final Payment]]&lt;&gt;"",YEAR(cf_sales[[#This Row],[Final Payment]]),"")</f>
        <v/>
      </c>
      <c r="BG13" s="127" t="str">
        <f>IF(cf_sales[[#This Row],[Transport Date]]&lt;&gt;"",YEAR(cf_sales[[#This Row],[Transport Date]]),"")</f>
        <v/>
      </c>
      <c r="BH13" s="127" t="str">
        <f>IF(cf_sales[[#This Row],[Last Transport]]&lt;&gt;"",YEAR(cf_sales[[#This Row],[Last Transport]]),"")</f>
        <v/>
      </c>
      <c r="BI13" s="111"/>
      <c r="BJ13" s="111"/>
    </row>
    <row r="14" spans="2:62" ht="15.75" customHeight="1" x14ac:dyDescent="0.25">
      <c r="B14" s="332"/>
      <c r="C14" s="333"/>
      <c r="D14" s="333"/>
      <c r="E14" s="333"/>
      <c r="F14" s="334"/>
      <c r="G14" s="112"/>
      <c r="H14" s="234"/>
      <c r="I14" s="234"/>
      <c r="J14" s="235"/>
      <c r="K14" s="245"/>
      <c r="L14" s="237"/>
      <c r="M14" s="238"/>
      <c r="N14" s="238"/>
      <c r="O14" s="246"/>
      <c r="P14" s="246"/>
      <c r="Q14" s="246"/>
      <c r="R14" s="239" t="str">
        <f>IF(cf_sales[[#This Row],[Deposit%]]&lt;&gt;"",1-cf_sales[[#This Row],[Deposit%]],"")</f>
        <v/>
      </c>
      <c r="S14" s="240" t="str">
        <f>IF(cf_sales[[#This Row],[Sales Price]]&lt;&gt;"",cf_sales[[#This Row],[Quantity]]*cf_sales[[#This Row],[Sales Price]],"")</f>
        <v/>
      </c>
      <c r="T14" s="242" t="str">
        <f>IF(cf_sales[[#This Row],[Sales Price]]&lt;&gt;"",cf_sales[[#This Row],[Quantity]]*cf_sales[[#This Row],[Sales Price]]*cf_sales[[#This Row],[Balance%]],"")</f>
        <v/>
      </c>
      <c r="U14" s="242" t="str">
        <f>IF(cf_sales[[#This Row],[Deposit%]]&lt;&gt;0,cf_sales[[#This Row],[Total Amount]]*cf_sales[[#This Row],[Deposit%]],"")</f>
        <v/>
      </c>
      <c r="V14" s="242" t="str">
        <f>IF(cf_sales[[#This Row],[Travel (Days)]]="","",30)</f>
        <v/>
      </c>
      <c r="W14" s="242" t="str">
        <f>IF(cf_sales[[#This Row],[Transport Terms]]="","",(_xlfn.XLOOKUP(cf_sales[[#This Row],[Deal No.]],transport_cost[Deal No.],transport_cost[Price],"",0,1))*cf_sales[[#This Row],[Quantity]])</f>
        <v/>
      </c>
      <c r="X14" s="129">
        <f>IFERROR(IF('Ad Hoc Cost'!$T$4=0,"",'Ad Hoc Cost'!$D$17*cf_sales[[#This Row],[Quantity]]),"")</f>
        <v>0</v>
      </c>
      <c r="Y14" s="247" t="str">
        <f>IF(cf_sales[[#This Row],[Uplift (Days)]]&lt;&gt;"",ROUNDUP(cf_sales[[#This Row],[Uplift (Days)]]/7,0),"")</f>
        <v/>
      </c>
      <c r="Z14" s="247" t="str">
        <f>IF(cf_sales[[#This Row],[Uplift (Days)]]&lt;&gt;"",ROUNDUP(cf_sales[[#This Row],[Uplift (Days)]]/7,0),"")</f>
        <v/>
      </c>
      <c r="AA14" s="247" t="str">
        <f>IF(cf_sales[[#This Row],[Uplift (Days)]]&lt;&gt;"",ROUNDUP(cf_sales[[#This Row],[Uplift (Days)]]/7,0),"")</f>
        <v/>
      </c>
      <c r="AB14" s="248" t="str">
        <f>IF(cf_sales[[#This Row],[Quantity]]&lt;&gt;"",cf_sales[[#This Row],[Quantity]]/cf_sales[[#This Row],[Weeks to Uplift]],"")</f>
        <v/>
      </c>
      <c r="AC14" s="242" t="str">
        <f>IF(cf_sales[[#This Row],[Sales Price]]&lt;&gt;"",cf_sales[[#This Row],[Balance Amount]]/cf_sales[[#This Row],[Weeks to Uplift]],"")</f>
        <v/>
      </c>
      <c r="AD14" s="242" t="str">
        <f>IF(cf_sales[[#This Row],[Transport Amount]]&lt;&gt;"",cf_sales[[#This Row],[Transport Amount]]/cf_sales[[#This Row],[Weeks to Uplift]],"")</f>
        <v/>
      </c>
      <c r="AE14" s="242" t="e">
        <f>IF(cf_sales[[#This Row],[Adhoc Amount]]&lt;&gt;"",cf_sales[[#This Row],[Adhoc Amount]]/cf_sales[[#This Row],[Weeks to Uplift]],"")</f>
        <v>#VALUE!</v>
      </c>
      <c r="AF14" s="249" t="str">
        <f>IFERROR(DATE(cf_sales[[#This Row],[Year Upl 1st]], 1, -2) - WEEKDAY(DATE(cf_sales[[#This Row],[Year Upl 1st]], 1, 3)) + cf_sales[[#This Row],[IsoW Upl 1st]] * 7,"")</f>
        <v/>
      </c>
      <c r="AG14" s="249" t="str">
        <f>IFERROR(cf_sales[[#This Row],[1st Uplift]]+(cf_sales[[#This Row],[Weeks to Uplift]]*7-1),"")</f>
        <v/>
      </c>
      <c r="AH14" s="249" t="str">
        <f>IF(cf_sales[[#This Row],[Uplift Start]]&lt;&gt;"",cf_sales[[#This Row],[Uplift Start]]+cf_sales[[#This Row],[Travel (Days)]],"")</f>
        <v/>
      </c>
      <c r="AI14" s="243" t="str">
        <f>IFERROR(DATE(cf_sales[[#This Row],[Year Del 1st]], 1, -2) - WEEKDAY(DATE(cf_sales[[#This Row],[Year Del 1st]], 1, 3)) + cf_sales[[#This Row],[IsoW Del 1st]] * 7,"")</f>
        <v/>
      </c>
      <c r="AJ14" s="243" t="str">
        <f>IFERROR(cf_sales[[#This Row],[1st Delivery]]+(cf_sales[[#This Row],[Weeks to Uplift]]*7-1),"")</f>
        <v/>
      </c>
      <c r="AK14" s="243" t="str">
        <f>IF(cf_sales[[#This Row],[Weeks to Uplift]]&lt;&gt;"",cf_sales[[#This Row],[Delivery Date]]+cf_sales[[#This Row],[Terms (Days)]],"")</f>
        <v/>
      </c>
      <c r="AL14" s="243" t="str">
        <f>IFERROR(DATE(cf_sales[[#This Row],[Year Bal 1st]], 1, -2) - WEEKDAY(DATE(cf_sales[[#This Row],[Year Bal 1st]], 1, 3)) + cf_sales[[#This Row],[IsoW Bal 1st]] * 7,"")</f>
        <v/>
      </c>
      <c r="AM14" s="243" t="str">
        <f>IFERROR(cf_sales[[#This Row],[1st Payment]]+(cf_sales[[#This Row],[Weeks to Uplift]]*7-1),"")</f>
        <v/>
      </c>
      <c r="AN14" s="243" t="str">
        <f>IF(cf_sales[[#This Row],[Weeks to Uplift]]&lt;&gt;"",cf_sales[[#This Row],[Delivery Date]]+cf_sales[[#This Row],[Transport Terms]],"")</f>
        <v/>
      </c>
      <c r="AO14" s="243" t="str">
        <f>IFERROR(DATE(cf_sales[[#This Row],[Year Trsp 1st]], 1, -2) - WEEKDAY(DATE(cf_sales[[#This Row],[Year Trsp 1st]], 1, 3)) + cf_sales[[#This Row],[IsoW Trsp 1st]] * 7,"")</f>
        <v/>
      </c>
      <c r="AP14" s="243" t="str">
        <f>IFERROR(cf_sales[[#This Row],[1st Transport]]+(cf_sales[[#This Row],[Weeks to Uplift]]*7-1),"")</f>
        <v/>
      </c>
      <c r="AQ14" s="241" t="str">
        <f>IF(cf_sales[[#This Row],[Deposit Date]]&lt;&gt;"",_xlfn.ISOWEEKNUM(cf_sales[[#This Row],[Deposit Date]]),"")</f>
        <v/>
      </c>
      <c r="AR14" s="250" t="str">
        <f>IF(cf_sales[[#This Row],[Uplift Start]]&lt;&gt;"",_xlfn.ISOWEEKNUM(cf_sales[[#This Row],[Uplift Start]]),"")</f>
        <v/>
      </c>
      <c r="AS14" s="250" t="str">
        <f>IF(cf_sales[[#This Row],[Weeks to Uplift]]&lt;&gt;"",cf_sales[[#This Row],[IsoW Upl 1st]]+cf_sales[[#This Row],[Weeks to Uplift]]-1,"")</f>
        <v/>
      </c>
      <c r="AT14" s="241" t="str">
        <f>IF(cf_sales[[#This Row],[Delivery Date]]&lt;&gt;"",_xlfn.ISOWEEKNUM(cf_sales[[#This Row],[Delivery Date]]),"")</f>
        <v/>
      </c>
      <c r="AU14" s="241" t="str">
        <f>IF(cf_sales[[#This Row],[Final Delivery]]&lt;&gt;"",_xlfn.ISOWEEKNUM(cf_sales[[#This Row],[Final Delivery]]),"")</f>
        <v/>
      </c>
      <c r="AV14" s="241" t="str">
        <f>IF(cf_sales[[#This Row],[Payment Date]]&lt;&gt;"",_xlfn.ISOWEEKNUM(cf_sales[[#This Row],[Payment Date]]),"")</f>
        <v/>
      </c>
      <c r="AW14" s="241" t="str">
        <f>IF(cf_sales[[#This Row],[Final Payment]]&lt;&gt;"",_xlfn.ISOWEEKNUM(cf_sales[[#This Row],[Final Payment]]),"")</f>
        <v/>
      </c>
      <c r="AX14" s="241" t="str">
        <f>IF(cf_sales[[#This Row],[Transport Date]]&lt;&gt;"",_xlfn.ISOWEEKNUM(cf_sales[[#This Row],[Transport Date]]),"")</f>
        <v/>
      </c>
      <c r="AY14" s="241" t="str">
        <f>IF(cf_sales[[#This Row],[Last Transport]]&lt;&gt;"",_xlfn.ISOWEEKNUM(cf_sales[[#This Row],[Last Transport]]),"")</f>
        <v/>
      </c>
      <c r="AZ14" s="241" t="str">
        <f>IF(cf_sales[[#This Row],[Deposit Date]]&lt;&gt;"",YEAR(cf_sales[[#This Row],[Deposit Date]]),"")</f>
        <v/>
      </c>
      <c r="BA14" s="250" t="str">
        <f>IF(cf_sales[[#This Row],[Uplift Start]]&lt;&gt;"",YEAR(cf_sales[[#This Row],[Uplift Start]]),"")</f>
        <v/>
      </c>
      <c r="BB14" s="250" t="str">
        <f>IF(cf_sales[[#This Row],[Final Uplift]]&lt;&gt;"",YEAR(cf_sales[[#This Row],[Final Uplift]]),"")</f>
        <v/>
      </c>
      <c r="BC14" s="241" t="str">
        <f>IF(cf_sales[[#This Row],[Delivery Date]]&lt;&gt;"",YEAR(cf_sales[[#This Row],[Delivery Date]]),"")</f>
        <v/>
      </c>
      <c r="BD14" s="241" t="str">
        <f>IF(cf_sales[[#This Row],[Final Delivery]]&lt;&gt;"",YEAR(cf_sales[[#This Row],[Final Delivery]]),"")</f>
        <v/>
      </c>
      <c r="BE14" s="241" t="str">
        <f>IF(cf_sales[[#This Row],[Payment Date]]&lt;&gt;"",YEAR(cf_sales[[#This Row],[Payment Date]]),"")</f>
        <v/>
      </c>
      <c r="BF14" s="241" t="str">
        <f>IF(cf_sales[[#This Row],[Final Payment]]&lt;&gt;"",YEAR(cf_sales[[#This Row],[Final Payment]]),"")</f>
        <v/>
      </c>
      <c r="BG14" s="241" t="str">
        <f>IF(cf_sales[[#This Row],[Transport Date]]&lt;&gt;"",YEAR(cf_sales[[#This Row],[Transport Date]]),"")</f>
        <v/>
      </c>
      <c r="BH14" s="241" t="str">
        <f>IF(cf_sales[[#This Row],[Last Transport]]&lt;&gt;"",YEAR(cf_sales[[#This Row],[Last Transport]]),"")</f>
        <v/>
      </c>
      <c r="BI14" s="111"/>
      <c r="BJ14" s="111"/>
    </row>
    <row r="15" spans="2:62" ht="15.75" customHeight="1" x14ac:dyDescent="0.25">
      <c r="B15" s="332"/>
      <c r="C15" s="333"/>
      <c r="D15" s="333"/>
      <c r="E15" s="333"/>
      <c r="F15" s="334"/>
      <c r="G15" s="112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</row>
    <row r="16" spans="2:62" ht="15.75" customHeight="1" x14ac:dyDescent="0.25">
      <c r="B16" s="332"/>
      <c r="C16" s="333"/>
      <c r="D16" s="333"/>
      <c r="E16" s="333"/>
      <c r="F16" s="334"/>
      <c r="G16" s="112"/>
      <c r="H16" s="29" t="s">
        <v>50</v>
      </c>
      <c r="I16" s="29" t="s">
        <v>56</v>
      </c>
      <c r="J16" s="29" t="s">
        <v>12</v>
      </c>
      <c r="K16" s="30" t="s">
        <v>151</v>
      </c>
      <c r="L16" s="30" t="s">
        <v>152</v>
      </c>
      <c r="M16" s="30" t="s">
        <v>103</v>
      </c>
      <c r="N16" s="30" t="s">
        <v>108</v>
      </c>
      <c r="O16" s="30" t="s">
        <v>153</v>
      </c>
      <c r="P16" s="30" t="s">
        <v>60</v>
      </c>
      <c r="Q16" s="30" t="s">
        <v>154</v>
      </c>
      <c r="R16" s="30" t="s">
        <v>155</v>
      </c>
      <c r="S16" s="30" t="s">
        <v>133</v>
      </c>
      <c r="T16" s="30" t="s">
        <v>156</v>
      </c>
      <c r="U16" s="30" t="s">
        <v>142</v>
      </c>
      <c r="V16" s="30" t="s">
        <v>157</v>
      </c>
      <c r="W16" s="30" t="s">
        <v>158</v>
      </c>
      <c r="X16" s="30" t="s">
        <v>159</v>
      </c>
      <c r="Y16" s="30" t="s">
        <v>160</v>
      </c>
      <c r="Z16" s="30" t="s">
        <v>161</v>
      </c>
      <c r="AA16" s="30" t="s">
        <v>162</v>
      </c>
      <c r="AB16" s="30" t="s">
        <v>163</v>
      </c>
      <c r="AC16" s="30" t="s">
        <v>164</v>
      </c>
      <c r="AD16" s="30" t="s">
        <v>165</v>
      </c>
      <c r="AE16" s="30" t="s">
        <v>166</v>
      </c>
      <c r="AF16" s="30" t="s">
        <v>167</v>
      </c>
      <c r="AG16" s="30" t="s">
        <v>168</v>
      </c>
      <c r="AH16" s="30" t="s">
        <v>169</v>
      </c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</row>
    <row r="17" spans="2:62" ht="15.75" customHeight="1" x14ac:dyDescent="0.25">
      <c r="B17" s="332"/>
      <c r="C17" s="333"/>
      <c r="D17" s="333"/>
      <c r="E17" s="333"/>
      <c r="F17" s="334"/>
      <c r="G17" s="112"/>
      <c r="H17" s="134" t="s">
        <v>1430</v>
      </c>
      <c r="I17" s="134" t="s">
        <v>68</v>
      </c>
      <c r="J17" s="135">
        <v>1000</v>
      </c>
      <c r="K17" s="136">
        <v>500</v>
      </c>
      <c r="L17" s="137">
        <v>0.25</v>
      </c>
      <c r="M17" s="133">
        <v>45992</v>
      </c>
      <c r="N17" s="125">
        <f>IF(cf_purch[[#This Row],[Deposit %]]&lt;&gt;"",1-cf_purch[[#This Row],[Deposit %]],"")</f>
        <v>0.75</v>
      </c>
      <c r="O17" s="133">
        <v>46054</v>
      </c>
      <c r="P17" s="128">
        <f>IF(cf_purch[[#This Row],[Purch Cost]]&lt;&gt;"",cf_purch[[#This Row],[Quantity]]*cf_purch[[#This Row],[Purch Cost]],"")</f>
        <v>500000</v>
      </c>
      <c r="Q17" s="127">
        <f>IF(cf_purch[[#This Row],[Purch Cost]]&lt;&gt;"",cf_purch[[#This Row],[Quantity]]*cf_purch[[#This Row],[Purch Cost]]*cf_purch[[#This Row],[Deposit %]],"")</f>
        <v>125000</v>
      </c>
      <c r="R17" s="129">
        <f>IF(cf_purch[[#This Row],[Purch Cost]]&lt;&gt;"",cf_purch[[#This Row],[Quantity]]*cf_purch[[#This Row],[Purch Cost]]*cf_purch[[#This Row],[Balance%]],"")</f>
        <v>375000</v>
      </c>
      <c r="S17" s="127">
        <f>IF(cf_purch[[#This Row],[Deposit Date]]&lt;&gt;"",_xlfn.ISOWEEKNUM(cf_purch[[#This Row],[Deposit Date]]),"")</f>
        <v>49</v>
      </c>
      <c r="T17" s="127">
        <f>IF(cf_purch[[#This Row],[Balance Date]]&lt;&gt;"",_xlfn.ISOWEEKNUM(cf_purch[[#This Row],[Balance Date]]),"")</f>
        <v>5</v>
      </c>
      <c r="U17" s="127">
        <f>IF(cf_purch[[#This Row],[Deposit Date]]&lt;&gt;"",YEAR(cf_purch[[#This Row],[Deposit Date]]),"")</f>
        <v>2025</v>
      </c>
      <c r="V17" s="127">
        <f>IF(cf_purch[[#This Row],[Balance Date]]&lt;&gt;"",YEAR(cf_purch[[#This Row],[Balance Date]]),"")</f>
        <v>2026</v>
      </c>
      <c r="W17" s="127">
        <f>IF(cf_purch[[#This Row],[Purch Cost]]&lt;&gt;"",IF(_xlfn.XLOOKUP(cf_purch[[#This Row],[Stock Code]],stock_cost[Stock Code],stock_cost[Cost Currency],"",0,1)="ZAR",cf_purch[[#This Row],[Total Cost]]*0.15,0),"")</f>
        <v>0</v>
      </c>
      <c r="X17" s="127">
        <f>IF(cf_purch[[#This Row],[VAT]]="","",cf_purch[[#This Row],[VAT]]+cf_purch[[#This Row],[Total Cost]])</f>
        <v>500000</v>
      </c>
      <c r="Y17" s="127">
        <f>IF(cf_purch[[#This Row],[VAT Total]]="","",cf_purch[[#This Row],[VAT Total]]*cf_purch[[#This Row],[Balance%]])</f>
        <v>375000</v>
      </c>
      <c r="Z17" s="127">
        <f>IF(cf_purch[[#This Row],[VAT Total]]="","",cf_purch[[#This Row],[VAT Total]]*cf_purch[[#This Row],[Deposit %]])</f>
        <v>125000</v>
      </c>
      <c r="AA17" s="127">
        <f>IF(cf_purch[[#This Row],[VAT]]="","",cf_purch[[#This Row],[VAT]]*cf_purch[[#This Row],[Balance%]])</f>
        <v>0</v>
      </c>
      <c r="AB17" s="127">
        <f>IF(cf_purch[[#This Row],[VAT]]="","",cf_purch[[#This Row],[VAT]]*cf_purch[[#This Row],[Deposit %]])</f>
        <v>0</v>
      </c>
      <c r="AC17" s="126">
        <f>IF(cf_purch[[#This Row],[Balance Date]]="","",cf_purch[[#This Row],[Balance Date]]+120)</f>
        <v>46174</v>
      </c>
      <c r="AD17" s="126">
        <f>IF(cf_purch[[#This Row],[Deposit Date]]="","",cf_purch[[#This Row],[Deposit Date]]+120)</f>
        <v>46112</v>
      </c>
      <c r="AE17" s="123">
        <f>IF(cf_purch[[#This Row],[Dep VAT Date]]="","",_xlfn.ISOWEEKNUM(cf_purch[[#This Row],[Dep VAT Date]]))</f>
        <v>14</v>
      </c>
      <c r="AF17" s="123">
        <f>IF(cf_purch[[#This Row],[Dep VAT Date]]="","",YEAR(cf_purch[[#This Row],[Dep VAT Date]]))</f>
        <v>2026</v>
      </c>
      <c r="AG17" s="123">
        <f>IF(cf_purch[[#This Row],[Bal VAT Date]]="","",_xlfn.ISOWEEKNUM(cf_purch[[#This Row],[Bal VAT Date]]))</f>
        <v>23</v>
      </c>
      <c r="AH17" s="123">
        <f>IF(cf_purch[[#This Row],[Bal VAT Date]]="","",YEAR(cf_purch[[#This Row],[Bal VAT Date]]))</f>
        <v>2026</v>
      </c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</row>
    <row r="18" spans="2:62" ht="15.75" customHeight="1" x14ac:dyDescent="0.25">
      <c r="B18" s="332"/>
      <c r="C18" s="333"/>
      <c r="D18" s="333"/>
      <c r="E18" s="333"/>
      <c r="F18" s="334"/>
      <c r="G18" s="28"/>
      <c r="H18" s="134"/>
      <c r="I18" s="134"/>
      <c r="J18" s="135"/>
      <c r="K18" s="136"/>
      <c r="L18" s="137"/>
      <c r="M18" s="133"/>
      <c r="N18" s="125" t="str">
        <f>IF(cf_purch[[#This Row],[Deposit %]]&lt;&gt;"",1-cf_purch[[#This Row],[Deposit %]],"")</f>
        <v/>
      </c>
      <c r="O18" s="133"/>
      <c r="P18" s="128" t="str">
        <f>IF(cf_purch[[#This Row],[Purch Cost]]&lt;&gt;"",cf_purch[[#This Row],[Quantity]]*cf_purch[[#This Row],[Purch Cost]],"")</f>
        <v/>
      </c>
      <c r="Q18" s="127" t="str">
        <f>IF(cf_purch[[#This Row],[Purch Cost]]&lt;&gt;"",cf_purch[[#This Row],[Quantity]]*cf_purch[[#This Row],[Purch Cost]]*cf_purch[[#This Row],[Deposit %]],"")</f>
        <v/>
      </c>
      <c r="R18" s="129" t="str">
        <f>IF(cf_purch[[#This Row],[Purch Cost]]&lt;&gt;"",cf_purch[[#This Row],[Quantity]]*cf_purch[[#This Row],[Purch Cost]]*cf_purch[[#This Row],[Balance%]],"")</f>
        <v/>
      </c>
      <c r="S18" s="127" t="str">
        <f>IF(cf_purch[[#This Row],[Deposit Date]]&lt;&gt;"",_xlfn.ISOWEEKNUM(cf_purch[[#This Row],[Deposit Date]]),"")</f>
        <v/>
      </c>
      <c r="T18" s="127" t="str">
        <f>IF(cf_purch[[#This Row],[Balance Date]]&lt;&gt;"",_xlfn.ISOWEEKNUM(cf_purch[[#This Row],[Balance Date]]),"")</f>
        <v/>
      </c>
      <c r="U18" s="127" t="str">
        <f>IF(cf_purch[[#This Row],[Deposit Date]]&lt;&gt;"",YEAR(cf_purch[[#This Row],[Deposit Date]]),"")</f>
        <v/>
      </c>
      <c r="V18" s="127" t="str">
        <f>IF(cf_purch[[#This Row],[Balance Date]]&lt;&gt;"",YEAR(cf_purch[[#This Row],[Balance Date]]),"")</f>
        <v/>
      </c>
      <c r="W18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18" s="127" t="str">
        <f>IF(cf_purch[[#This Row],[VAT]]="","",cf_purch[[#This Row],[VAT]]+cf_purch[[#This Row],[Total Cost]])</f>
        <v/>
      </c>
      <c r="Y18" s="127" t="str">
        <f>IF(cf_purch[[#This Row],[VAT Total]]="","",cf_purch[[#This Row],[VAT Total]]*cf_purch[[#This Row],[Balance%]])</f>
        <v/>
      </c>
      <c r="Z18" s="127" t="str">
        <f>IF(cf_purch[[#This Row],[VAT Total]]="","",cf_purch[[#This Row],[VAT Total]]*cf_purch[[#This Row],[Deposit %]])</f>
        <v/>
      </c>
      <c r="AA18" s="127" t="str">
        <f>IF(cf_purch[[#This Row],[VAT]]="","",cf_purch[[#This Row],[VAT]]*cf_purch[[#This Row],[Balance%]])</f>
        <v/>
      </c>
      <c r="AB18" s="127" t="str">
        <f>IF(cf_purch[[#This Row],[VAT]]="","",cf_purch[[#This Row],[VAT]]*cf_purch[[#This Row],[Deposit %]])</f>
        <v/>
      </c>
      <c r="AC18" s="126" t="str">
        <f>IF(cf_purch[[#This Row],[Balance Date]]="","",cf_purch[[#This Row],[Balance Date]]+120)</f>
        <v/>
      </c>
      <c r="AD18" s="126" t="str">
        <f>IF(cf_purch[[#This Row],[Deposit Date]]="","",cf_purch[[#This Row],[Deposit Date]]+120)</f>
        <v/>
      </c>
      <c r="AE18" s="123" t="str">
        <f>IF(cf_purch[[#This Row],[Dep VAT Date]]="","",_xlfn.ISOWEEKNUM(cf_purch[[#This Row],[Dep VAT Date]]))</f>
        <v/>
      </c>
      <c r="AF18" s="123" t="str">
        <f>IF(cf_purch[[#This Row],[Dep VAT Date]]="","",YEAR(cf_purch[[#This Row],[Dep VAT Date]]))</f>
        <v/>
      </c>
      <c r="AG18" s="123" t="str">
        <f>IF(cf_purch[[#This Row],[Bal VAT Date]]="","",_xlfn.ISOWEEKNUM(cf_purch[[#This Row],[Bal VAT Date]]))</f>
        <v/>
      </c>
      <c r="AH18" s="123" t="str">
        <f>IF(cf_purch[[#This Row],[Bal VAT Date]]="","",YEAR(cf_purch[[#This Row],[Bal VAT Date]]))</f>
        <v/>
      </c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J18" s="111"/>
    </row>
    <row r="19" spans="2:62" ht="15.75" customHeight="1" x14ac:dyDescent="0.25">
      <c r="B19" s="335"/>
      <c r="C19" s="336"/>
      <c r="D19" s="336"/>
      <c r="E19" s="336"/>
      <c r="F19" s="337"/>
      <c r="G19" s="28"/>
      <c r="H19" s="234"/>
      <c r="I19" s="234"/>
      <c r="J19" s="235"/>
      <c r="K19" s="236"/>
      <c r="L19" s="237"/>
      <c r="M19" s="238"/>
      <c r="N19" s="239" t="str">
        <f>IF(cf_purch[[#This Row],[Deposit %]]&lt;&gt;"",1-cf_purch[[#This Row],[Deposit %]],"")</f>
        <v/>
      </c>
      <c r="O19" s="238"/>
      <c r="P19" s="240" t="str">
        <f>IF(cf_purch[[#This Row],[Purch Cost]]&lt;&gt;"",cf_purch[[#This Row],[Quantity]]*cf_purch[[#This Row],[Purch Cost]],"")</f>
        <v/>
      </c>
      <c r="Q19" s="241" t="str">
        <f>IF(cf_purch[[#This Row],[Purch Cost]]&lt;&gt;"",cf_purch[[#This Row],[Quantity]]*cf_purch[[#This Row],[Purch Cost]]*cf_purch[[#This Row],[Deposit %]],"")</f>
        <v/>
      </c>
      <c r="R19" s="242" t="str">
        <f>IF(cf_purch[[#This Row],[Purch Cost]]&lt;&gt;"",cf_purch[[#This Row],[Quantity]]*cf_purch[[#This Row],[Purch Cost]]*cf_purch[[#This Row],[Balance%]],"")</f>
        <v/>
      </c>
      <c r="S19" s="241" t="str">
        <f>IF(cf_purch[[#This Row],[Deposit Date]]&lt;&gt;"",_xlfn.ISOWEEKNUM(cf_purch[[#This Row],[Deposit Date]]),"")</f>
        <v/>
      </c>
      <c r="T19" s="241" t="str">
        <f>IF(cf_purch[[#This Row],[Balance Date]]&lt;&gt;"",_xlfn.ISOWEEKNUM(cf_purch[[#This Row],[Balance Date]]),"")</f>
        <v/>
      </c>
      <c r="U19" s="241" t="str">
        <f>IF(cf_purch[[#This Row],[Deposit Date]]&lt;&gt;"",YEAR(cf_purch[[#This Row],[Deposit Date]]),"")</f>
        <v/>
      </c>
      <c r="V19" s="241" t="str">
        <f>IF(cf_purch[[#This Row],[Balance Date]]&lt;&gt;"",YEAR(cf_purch[[#This Row],[Balance Date]]),"")</f>
        <v/>
      </c>
      <c r="W19" s="241" t="str">
        <f>IF(cf_purch[[#This Row],[Purch Cost]]&lt;&gt;"",IF(_xlfn.XLOOKUP(cf_purch[[#This Row],[Stock Code]],stock_cost[Stock Code],stock_cost[Cost Currency],"",0,1)="ZAR",cf_purch[[#This Row],[Total Cost]]*0.15,0),"")</f>
        <v/>
      </c>
      <c r="X19" s="241" t="str">
        <f>IF(cf_purch[[#This Row],[VAT]]="","",cf_purch[[#This Row],[VAT]]+cf_purch[[#This Row],[Total Cost]])</f>
        <v/>
      </c>
      <c r="Y19" s="241" t="str">
        <f>IF(cf_purch[[#This Row],[VAT Total]]="","",cf_purch[[#This Row],[VAT Total]]*cf_purch[[#This Row],[Balance%]])</f>
        <v/>
      </c>
      <c r="Z19" s="241" t="str">
        <f>IF(cf_purch[[#This Row],[VAT Total]]="","",cf_purch[[#This Row],[VAT Total]]*cf_purch[[#This Row],[Deposit %]])</f>
        <v/>
      </c>
      <c r="AA19" s="241" t="str">
        <f>IF(cf_purch[[#This Row],[VAT]]="","",cf_purch[[#This Row],[VAT]]*cf_purch[[#This Row],[Balance%]])</f>
        <v/>
      </c>
      <c r="AB19" s="241" t="str">
        <f>IF(cf_purch[[#This Row],[VAT]]="","",cf_purch[[#This Row],[VAT]]*cf_purch[[#This Row],[Deposit %]])</f>
        <v/>
      </c>
      <c r="AC19" s="243" t="str">
        <f>IF(cf_purch[[#This Row],[Balance Date]]="","",cf_purch[[#This Row],[Balance Date]]+120)</f>
        <v/>
      </c>
      <c r="AD19" s="243" t="str">
        <f>IF(cf_purch[[#This Row],[Deposit Date]]="","",cf_purch[[#This Row],[Deposit Date]]+120)</f>
        <v/>
      </c>
      <c r="AE19" s="244" t="str">
        <f>IF(cf_purch[[#This Row],[Dep VAT Date]]="","",_xlfn.ISOWEEKNUM(cf_purch[[#This Row],[Dep VAT Date]]))</f>
        <v/>
      </c>
      <c r="AF19" s="244" t="str">
        <f>IF(cf_purch[[#This Row],[Dep VAT Date]]="","",YEAR(cf_purch[[#This Row],[Dep VAT Date]]))</f>
        <v/>
      </c>
      <c r="AG19" s="244" t="str">
        <f>IF(cf_purch[[#This Row],[Bal VAT Date]]="","",_xlfn.ISOWEEKNUM(cf_purch[[#This Row],[Bal VAT Date]]))</f>
        <v/>
      </c>
      <c r="AH19" s="244" t="str">
        <f>IF(cf_purch[[#This Row],[Bal VAT Date]]="","",YEAR(cf_purch[[#This Row],[Bal VAT Date]]))</f>
        <v/>
      </c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J19" s="111"/>
    </row>
    <row r="20" spans="2:62" ht="15.75" customHeight="1" x14ac:dyDescent="0.25">
      <c r="B20" s="272"/>
      <c r="C20" s="272"/>
      <c r="D20" s="272"/>
      <c r="E20" s="272"/>
      <c r="F20" s="272"/>
      <c r="G20" s="28"/>
      <c r="H20" s="134"/>
      <c r="I20" s="134"/>
      <c r="J20" s="135"/>
      <c r="K20" s="136"/>
      <c r="L20" s="137"/>
      <c r="M20" s="133"/>
      <c r="N20" s="125" t="str">
        <f>IF(cf_purch[[#This Row],[Deposit %]]&lt;&gt;"",1-cf_purch[[#This Row],[Deposit %]],"")</f>
        <v/>
      </c>
      <c r="O20" s="133"/>
      <c r="P20" s="128" t="str">
        <f>IF(cf_purch[[#This Row],[Purch Cost]]&lt;&gt;"",cf_purch[[#This Row],[Quantity]]*cf_purch[[#This Row],[Purch Cost]],"")</f>
        <v/>
      </c>
      <c r="Q20" s="127" t="str">
        <f>IF(cf_purch[[#This Row],[Purch Cost]]&lt;&gt;"",cf_purch[[#This Row],[Quantity]]*cf_purch[[#This Row],[Purch Cost]]*cf_purch[[#This Row],[Deposit %]],"")</f>
        <v/>
      </c>
      <c r="R20" s="129" t="str">
        <f>IF(cf_purch[[#This Row],[Purch Cost]]&lt;&gt;"",cf_purch[[#This Row],[Quantity]]*cf_purch[[#This Row],[Purch Cost]]*cf_purch[[#This Row],[Balance%]],"")</f>
        <v/>
      </c>
      <c r="S20" s="127" t="str">
        <f>IF(cf_purch[[#This Row],[Deposit Date]]&lt;&gt;"",_xlfn.ISOWEEKNUM(cf_purch[[#This Row],[Deposit Date]]),"")</f>
        <v/>
      </c>
      <c r="T20" s="127" t="str">
        <f>IF(cf_purch[[#This Row],[Balance Date]]&lt;&gt;"",_xlfn.ISOWEEKNUM(cf_purch[[#This Row],[Balance Date]]),"")</f>
        <v/>
      </c>
      <c r="U20" s="127" t="str">
        <f>IF(cf_purch[[#This Row],[Deposit Date]]&lt;&gt;"",YEAR(cf_purch[[#This Row],[Deposit Date]]),"")</f>
        <v/>
      </c>
      <c r="V20" s="127" t="str">
        <f>IF(cf_purch[[#This Row],[Balance Date]]&lt;&gt;"",YEAR(cf_purch[[#This Row],[Balance Date]]),"")</f>
        <v/>
      </c>
      <c r="W20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20" s="127" t="str">
        <f>IF(cf_purch[[#This Row],[VAT]]="","",cf_purch[[#This Row],[VAT]]+cf_purch[[#This Row],[Total Cost]])</f>
        <v/>
      </c>
      <c r="Y20" s="127" t="str">
        <f>IF(cf_purch[[#This Row],[VAT Total]]="","",cf_purch[[#This Row],[VAT Total]]*cf_purch[[#This Row],[Balance%]])</f>
        <v/>
      </c>
      <c r="Z20" s="127" t="str">
        <f>IF(cf_purch[[#This Row],[VAT Total]]="","",cf_purch[[#This Row],[VAT Total]]*cf_purch[[#This Row],[Deposit %]])</f>
        <v/>
      </c>
      <c r="AA20" s="127" t="str">
        <f>IF(cf_purch[[#This Row],[VAT]]="","",cf_purch[[#This Row],[VAT]]*cf_purch[[#This Row],[Balance%]])</f>
        <v/>
      </c>
      <c r="AB20" s="127" t="str">
        <f>IF(cf_purch[[#This Row],[VAT]]="","",cf_purch[[#This Row],[VAT]]*cf_purch[[#This Row],[Deposit %]])</f>
        <v/>
      </c>
      <c r="AC20" s="126" t="str">
        <f>IF(cf_purch[[#This Row],[Balance Date]]="","",cf_purch[[#This Row],[Balance Date]]+120)</f>
        <v/>
      </c>
      <c r="AD20" s="126" t="str">
        <f>IF(cf_purch[[#This Row],[Deposit Date]]="","",cf_purch[[#This Row],[Deposit Date]]+120)</f>
        <v/>
      </c>
      <c r="AE20" s="123" t="str">
        <f>IF(cf_purch[[#This Row],[Dep VAT Date]]="","",_xlfn.ISOWEEKNUM(cf_purch[[#This Row],[Dep VAT Date]]))</f>
        <v/>
      </c>
      <c r="AF20" s="123" t="str">
        <f>IF(cf_purch[[#This Row],[Dep VAT Date]]="","",YEAR(cf_purch[[#This Row],[Dep VAT Date]]))</f>
        <v/>
      </c>
      <c r="AG20" s="123" t="str">
        <f>IF(cf_purch[[#This Row],[Bal VAT Date]]="","",_xlfn.ISOWEEKNUM(cf_purch[[#This Row],[Bal VAT Date]]))</f>
        <v/>
      </c>
      <c r="AH20" s="123" t="str">
        <f>IF(cf_purch[[#This Row],[Bal VAT Date]]="","",YEAR(cf_purch[[#This Row],[Bal VAT Date]]))</f>
        <v/>
      </c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J20" s="111"/>
    </row>
    <row r="21" spans="2:62" ht="15.75" customHeight="1" x14ac:dyDescent="0.25">
      <c r="B21" s="272"/>
      <c r="C21" s="272"/>
      <c r="D21" s="272"/>
      <c r="E21" s="272"/>
      <c r="F21" s="272"/>
      <c r="G21" s="28"/>
      <c r="H21" s="134"/>
      <c r="I21" s="134"/>
      <c r="J21" s="135"/>
      <c r="K21" s="136"/>
      <c r="L21" s="137"/>
      <c r="M21" s="133"/>
      <c r="N21" s="125" t="str">
        <f>IF(cf_purch[[#This Row],[Deposit %]]&lt;&gt;"",1-cf_purch[[#This Row],[Deposit %]],"")</f>
        <v/>
      </c>
      <c r="O21" s="133"/>
      <c r="P21" s="128" t="str">
        <f>IF(cf_purch[[#This Row],[Purch Cost]]&lt;&gt;"",cf_purch[[#This Row],[Quantity]]*cf_purch[[#This Row],[Purch Cost]],"")</f>
        <v/>
      </c>
      <c r="Q21" s="127" t="str">
        <f>IF(cf_purch[[#This Row],[Purch Cost]]&lt;&gt;"",cf_purch[[#This Row],[Quantity]]*cf_purch[[#This Row],[Purch Cost]]*cf_purch[[#This Row],[Deposit %]],"")</f>
        <v/>
      </c>
      <c r="R21" s="129" t="str">
        <f>IF(cf_purch[[#This Row],[Purch Cost]]&lt;&gt;"",cf_purch[[#This Row],[Quantity]]*cf_purch[[#This Row],[Purch Cost]]*cf_purch[[#This Row],[Balance%]],"")</f>
        <v/>
      </c>
      <c r="S21" s="127" t="str">
        <f>IF(cf_purch[[#This Row],[Deposit Date]]&lt;&gt;"",_xlfn.ISOWEEKNUM(cf_purch[[#This Row],[Deposit Date]]),"")</f>
        <v/>
      </c>
      <c r="T21" s="127" t="str">
        <f>IF(cf_purch[[#This Row],[Balance Date]]&lt;&gt;"",_xlfn.ISOWEEKNUM(cf_purch[[#This Row],[Balance Date]]),"")</f>
        <v/>
      </c>
      <c r="U21" s="127" t="str">
        <f>IF(cf_purch[[#This Row],[Deposit Date]]&lt;&gt;"",YEAR(cf_purch[[#This Row],[Deposit Date]]),"")</f>
        <v/>
      </c>
      <c r="V21" s="127" t="str">
        <f>IF(cf_purch[[#This Row],[Balance Date]]&lt;&gt;"",YEAR(cf_purch[[#This Row],[Balance Date]]),"")</f>
        <v/>
      </c>
      <c r="W21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21" s="127" t="str">
        <f>IF(cf_purch[[#This Row],[VAT]]="","",cf_purch[[#This Row],[VAT]]+cf_purch[[#This Row],[Total Cost]])</f>
        <v/>
      </c>
      <c r="Y21" s="127" t="str">
        <f>IF(cf_purch[[#This Row],[VAT Total]]="","",cf_purch[[#This Row],[VAT Total]]*cf_purch[[#This Row],[Balance%]])</f>
        <v/>
      </c>
      <c r="Z21" s="127" t="str">
        <f>IF(cf_purch[[#This Row],[VAT Total]]="","",cf_purch[[#This Row],[VAT Total]]*cf_purch[[#This Row],[Deposit %]])</f>
        <v/>
      </c>
      <c r="AA21" s="127" t="str">
        <f>IF(cf_purch[[#This Row],[VAT]]="","",cf_purch[[#This Row],[VAT]]*cf_purch[[#This Row],[Balance%]])</f>
        <v/>
      </c>
      <c r="AB21" s="127" t="str">
        <f>IF(cf_purch[[#This Row],[VAT]]="","",cf_purch[[#This Row],[VAT]]*cf_purch[[#This Row],[Deposit %]])</f>
        <v/>
      </c>
      <c r="AC21" s="126" t="str">
        <f>IF(cf_purch[[#This Row],[Balance Date]]="","",cf_purch[[#This Row],[Balance Date]]+120)</f>
        <v/>
      </c>
      <c r="AD21" s="126" t="str">
        <f>IF(cf_purch[[#This Row],[Deposit Date]]="","",cf_purch[[#This Row],[Deposit Date]]+120)</f>
        <v/>
      </c>
      <c r="AE21" s="123" t="str">
        <f>IF(cf_purch[[#This Row],[Dep VAT Date]]="","",_xlfn.ISOWEEKNUM(cf_purch[[#This Row],[Dep VAT Date]]))</f>
        <v/>
      </c>
      <c r="AF21" s="123" t="str">
        <f>IF(cf_purch[[#This Row],[Dep VAT Date]]="","",YEAR(cf_purch[[#This Row],[Dep VAT Date]]))</f>
        <v/>
      </c>
      <c r="AG21" s="123" t="str">
        <f>IF(cf_purch[[#This Row],[Bal VAT Date]]="","",_xlfn.ISOWEEKNUM(cf_purch[[#This Row],[Bal VAT Date]]))</f>
        <v/>
      </c>
      <c r="AH21" s="123" t="str">
        <f>IF(cf_purch[[#This Row],[Bal VAT Date]]="","",YEAR(cf_purch[[#This Row],[Bal VAT Date]]))</f>
        <v/>
      </c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J21" s="111"/>
    </row>
    <row r="22" spans="2:62" ht="15.75" customHeight="1" x14ac:dyDescent="0.25">
      <c r="B22" s="272"/>
      <c r="C22" s="272"/>
      <c r="D22" s="272"/>
      <c r="E22" s="272"/>
      <c r="F22" s="272"/>
      <c r="G22" s="28"/>
      <c r="H22" s="134"/>
      <c r="I22" s="134"/>
      <c r="J22" s="135"/>
      <c r="K22" s="136"/>
      <c r="L22" s="137"/>
      <c r="M22" s="133"/>
      <c r="N22" s="125" t="str">
        <f>IF(cf_purch[[#This Row],[Deposit %]]&lt;&gt;"",1-cf_purch[[#This Row],[Deposit %]],"")</f>
        <v/>
      </c>
      <c r="O22" s="133"/>
      <c r="P22" s="128" t="str">
        <f>IF(cf_purch[[#This Row],[Purch Cost]]&lt;&gt;"",cf_purch[[#This Row],[Quantity]]*cf_purch[[#This Row],[Purch Cost]],"")</f>
        <v/>
      </c>
      <c r="Q22" s="127" t="str">
        <f>IF(cf_purch[[#This Row],[Purch Cost]]&lt;&gt;"",cf_purch[[#This Row],[Quantity]]*cf_purch[[#This Row],[Purch Cost]]*cf_purch[[#This Row],[Deposit %]],"")</f>
        <v/>
      </c>
      <c r="R22" s="129" t="str">
        <f>IF(cf_purch[[#This Row],[Purch Cost]]&lt;&gt;"",cf_purch[[#This Row],[Quantity]]*cf_purch[[#This Row],[Purch Cost]]*cf_purch[[#This Row],[Balance%]],"")</f>
        <v/>
      </c>
      <c r="S22" s="127" t="str">
        <f>IF(cf_purch[[#This Row],[Deposit Date]]&lt;&gt;"",_xlfn.ISOWEEKNUM(cf_purch[[#This Row],[Deposit Date]]),"")</f>
        <v/>
      </c>
      <c r="T22" s="127" t="str">
        <f>IF(cf_purch[[#This Row],[Balance Date]]&lt;&gt;"",_xlfn.ISOWEEKNUM(cf_purch[[#This Row],[Balance Date]]),"")</f>
        <v/>
      </c>
      <c r="U22" s="127" t="str">
        <f>IF(cf_purch[[#This Row],[Deposit Date]]&lt;&gt;"",YEAR(cf_purch[[#This Row],[Deposit Date]]),"")</f>
        <v/>
      </c>
      <c r="V22" s="127" t="str">
        <f>IF(cf_purch[[#This Row],[Balance Date]]&lt;&gt;"",YEAR(cf_purch[[#This Row],[Balance Date]]),"")</f>
        <v/>
      </c>
      <c r="W22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22" s="127" t="str">
        <f>IF(cf_purch[[#This Row],[VAT]]="","",cf_purch[[#This Row],[VAT]]+cf_purch[[#This Row],[Total Cost]])</f>
        <v/>
      </c>
      <c r="Y22" s="127" t="str">
        <f>IF(cf_purch[[#This Row],[VAT Total]]="","",cf_purch[[#This Row],[VAT Total]]*cf_purch[[#This Row],[Balance%]])</f>
        <v/>
      </c>
      <c r="Z22" s="127" t="str">
        <f>IF(cf_purch[[#This Row],[VAT Total]]="","",cf_purch[[#This Row],[VAT Total]]*cf_purch[[#This Row],[Deposit %]])</f>
        <v/>
      </c>
      <c r="AA22" s="127" t="str">
        <f>IF(cf_purch[[#This Row],[VAT]]="","",cf_purch[[#This Row],[VAT]]*cf_purch[[#This Row],[Balance%]])</f>
        <v/>
      </c>
      <c r="AB22" s="127" t="str">
        <f>IF(cf_purch[[#This Row],[VAT]]="","",cf_purch[[#This Row],[VAT]]*cf_purch[[#This Row],[Deposit %]])</f>
        <v/>
      </c>
      <c r="AC22" s="126" t="str">
        <f>IF(cf_purch[[#This Row],[Balance Date]]="","",cf_purch[[#This Row],[Balance Date]]+120)</f>
        <v/>
      </c>
      <c r="AD22" s="126" t="str">
        <f>IF(cf_purch[[#This Row],[Deposit Date]]="","",cf_purch[[#This Row],[Deposit Date]]+120)</f>
        <v/>
      </c>
      <c r="AE22" s="123" t="str">
        <f>IF(cf_purch[[#This Row],[Dep VAT Date]]="","",_xlfn.ISOWEEKNUM(cf_purch[[#This Row],[Dep VAT Date]]))</f>
        <v/>
      </c>
      <c r="AF22" s="123" t="str">
        <f>IF(cf_purch[[#This Row],[Dep VAT Date]]="","",YEAR(cf_purch[[#This Row],[Dep VAT Date]]))</f>
        <v/>
      </c>
      <c r="AG22" s="123" t="str">
        <f>IF(cf_purch[[#This Row],[Bal VAT Date]]="","",_xlfn.ISOWEEKNUM(cf_purch[[#This Row],[Bal VAT Date]]))</f>
        <v/>
      </c>
      <c r="AH22" s="123" t="str">
        <f>IF(cf_purch[[#This Row],[Bal VAT Date]]="","",YEAR(cf_purch[[#This Row],[Bal VAT Date]]))</f>
        <v/>
      </c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J22" s="111"/>
    </row>
    <row r="23" spans="2:62" ht="15.75" customHeight="1" x14ac:dyDescent="0.25">
      <c r="B23" s="272"/>
      <c r="C23" s="272"/>
      <c r="D23" s="272"/>
      <c r="E23" s="272"/>
      <c r="F23" s="272"/>
      <c r="G23" s="28"/>
      <c r="H23" s="134"/>
      <c r="I23" s="134"/>
      <c r="J23" s="135"/>
      <c r="K23" s="136"/>
      <c r="L23" s="137"/>
      <c r="M23" s="133"/>
      <c r="N23" s="125" t="str">
        <f>IF(cf_purch[[#This Row],[Deposit %]]&lt;&gt;"",1-cf_purch[[#This Row],[Deposit %]],"")</f>
        <v/>
      </c>
      <c r="O23" s="133"/>
      <c r="P23" s="128" t="str">
        <f>IF(cf_purch[[#This Row],[Purch Cost]]&lt;&gt;"",cf_purch[[#This Row],[Quantity]]*cf_purch[[#This Row],[Purch Cost]],"")</f>
        <v/>
      </c>
      <c r="Q23" s="127" t="str">
        <f>IF(cf_purch[[#This Row],[Purch Cost]]&lt;&gt;"",cf_purch[[#This Row],[Quantity]]*cf_purch[[#This Row],[Purch Cost]]*cf_purch[[#This Row],[Deposit %]],"")</f>
        <v/>
      </c>
      <c r="R23" s="129" t="str">
        <f>IF(cf_purch[[#This Row],[Purch Cost]]&lt;&gt;"",cf_purch[[#This Row],[Quantity]]*cf_purch[[#This Row],[Purch Cost]]*cf_purch[[#This Row],[Balance%]],"")</f>
        <v/>
      </c>
      <c r="S23" s="127" t="str">
        <f>IF(cf_purch[[#This Row],[Deposit Date]]&lt;&gt;"",_xlfn.ISOWEEKNUM(cf_purch[[#This Row],[Deposit Date]]),"")</f>
        <v/>
      </c>
      <c r="T23" s="127" t="str">
        <f>IF(cf_purch[[#This Row],[Balance Date]]&lt;&gt;"",_xlfn.ISOWEEKNUM(cf_purch[[#This Row],[Balance Date]]),"")</f>
        <v/>
      </c>
      <c r="U23" s="127" t="str">
        <f>IF(cf_purch[[#This Row],[Deposit Date]]&lt;&gt;"",YEAR(cf_purch[[#This Row],[Deposit Date]]),"")</f>
        <v/>
      </c>
      <c r="V23" s="127" t="str">
        <f>IF(cf_purch[[#This Row],[Balance Date]]&lt;&gt;"",YEAR(cf_purch[[#This Row],[Balance Date]]),"")</f>
        <v/>
      </c>
      <c r="W23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23" s="127" t="str">
        <f>IF(cf_purch[[#This Row],[VAT]]="","",cf_purch[[#This Row],[VAT]]+cf_purch[[#This Row],[Total Cost]])</f>
        <v/>
      </c>
      <c r="Y23" s="127" t="str">
        <f>IF(cf_purch[[#This Row],[VAT Total]]="","",cf_purch[[#This Row],[VAT Total]]*cf_purch[[#This Row],[Balance%]])</f>
        <v/>
      </c>
      <c r="Z23" s="127" t="str">
        <f>IF(cf_purch[[#This Row],[VAT Total]]="","",cf_purch[[#This Row],[VAT Total]]*cf_purch[[#This Row],[Deposit %]])</f>
        <v/>
      </c>
      <c r="AA23" s="127" t="str">
        <f>IF(cf_purch[[#This Row],[VAT]]="","",cf_purch[[#This Row],[VAT]]*cf_purch[[#This Row],[Balance%]])</f>
        <v/>
      </c>
      <c r="AB23" s="127" t="str">
        <f>IF(cf_purch[[#This Row],[VAT]]="","",cf_purch[[#This Row],[VAT]]*cf_purch[[#This Row],[Deposit %]])</f>
        <v/>
      </c>
      <c r="AC23" s="126" t="str">
        <f>IF(cf_purch[[#This Row],[Balance Date]]="","",cf_purch[[#This Row],[Balance Date]]+120)</f>
        <v/>
      </c>
      <c r="AD23" s="126" t="str">
        <f>IF(cf_purch[[#This Row],[Deposit Date]]="","",cf_purch[[#This Row],[Deposit Date]]+120)</f>
        <v/>
      </c>
      <c r="AE23" s="123" t="str">
        <f>IF(cf_purch[[#This Row],[Dep VAT Date]]="","",_xlfn.ISOWEEKNUM(cf_purch[[#This Row],[Dep VAT Date]]))</f>
        <v/>
      </c>
      <c r="AF23" s="123" t="str">
        <f>IF(cf_purch[[#This Row],[Dep VAT Date]]="","",YEAR(cf_purch[[#This Row],[Dep VAT Date]]))</f>
        <v/>
      </c>
      <c r="AG23" s="123" t="str">
        <f>IF(cf_purch[[#This Row],[Bal VAT Date]]="","",_xlfn.ISOWEEKNUM(cf_purch[[#This Row],[Bal VAT Date]]))</f>
        <v/>
      </c>
      <c r="AH23" s="123" t="str">
        <f>IF(cf_purch[[#This Row],[Bal VAT Date]]="","",YEAR(cf_purch[[#This Row],[Bal VAT Date]]))</f>
        <v/>
      </c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J23" s="111"/>
    </row>
    <row r="24" spans="2:62" ht="15.75" customHeight="1" x14ac:dyDescent="0.25">
      <c r="B24" s="272"/>
      <c r="C24" s="272"/>
      <c r="D24" s="272"/>
      <c r="E24" s="272"/>
      <c r="F24" s="272"/>
      <c r="G24" s="28"/>
      <c r="H24" s="134"/>
      <c r="I24" s="134"/>
      <c r="J24" s="135"/>
      <c r="K24" s="136"/>
      <c r="L24" s="137"/>
      <c r="M24" s="133"/>
      <c r="N24" s="125" t="str">
        <f>IF(cf_purch[[#This Row],[Deposit %]]&lt;&gt;"",1-cf_purch[[#This Row],[Deposit %]],"")</f>
        <v/>
      </c>
      <c r="O24" s="133"/>
      <c r="P24" s="128" t="str">
        <f>IF(cf_purch[[#This Row],[Purch Cost]]&lt;&gt;"",cf_purch[[#This Row],[Quantity]]*cf_purch[[#This Row],[Purch Cost]],"")</f>
        <v/>
      </c>
      <c r="Q24" s="127" t="str">
        <f>IF(cf_purch[[#This Row],[Purch Cost]]&lt;&gt;"",cf_purch[[#This Row],[Quantity]]*cf_purch[[#This Row],[Purch Cost]]*cf_purch[[#This Row],[Deposit %]],"")</f>
        <v/>
      </c>
      <c r="R24" s="129" t="str">
        <f>IF(cf_purch[[#This Row],[Purch Cost]]&lt;&gt;"",cf_purch[[#This Row],[Quantity]]*cf_purch[[#This Row],[Purch Cost]]*cf_purch[[#This Row],[Balance%]],"")</f>
        <v/>
      </c>
      <c r="S24" s="127" t="str">
        <f>IF(cf_purch[[#This Row],[Deposit Date]]&lt;&gt;"",_xlfn.ISOWEEKNUM(cf_purch[[#This Row],[Deposit Date]]),"")</f>
        <v/>
      </c>
      <c r="T24" s="127" t="str">
        <f>IF(cf_purch[[#This Row],[Balance Date]]&lt;&gt;"",_xlfn.ISOWEEKNUM(cf_purch[[#This Row],[Balance Date]]),"")</f>
        <v/>
      </c>
      <c r="U24" s="127" t="str">
        <f>IF(cf_purch[[#This Row],[Deposit Date]]&lt;&gt;"",YEAR(cf_purch[[#This Row],[Deposit Date]]),"")</f>
        <v/>
      </c>
      <c r="V24" s="127" t="str">
        <f>IF(cf_purch[[#This Row],[Balance Date]]&lt;&gt;"",YEAR(cf_purch[[#This Row],[Balance Date]]),"")</f>
        <v/>
      </c>
      <c r="W24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24" s="127" t="str">
        <f>IF(cf_purch[[#This Row],[VAT]]="","",cf_purch[[#This Row],[VAT]]+cf_purch[[#This Row],[Total Cost]])</f>
        <v/>
      </c>
      <c r="Y24" s="127" t="str">
        <f>IF(cf_purch[[#This Row],[VAT Total]]="","",cf_purch[[#This Row],[VAT Total]]*cf_purch[[#This Row],[Balance%]])</f>
        <v/>
      </c>
      <c r="Z24" s="127" t="str">
        <f>IF(cf_purch[[#This Row],[VAT Total]]="","",cf_purch[[#This Row],[VAT Total]]*cf_purch[[#This Row],[Deposit %]])</f>
        <v/>
      </c>
      <c r="AA24" s="127" t="str">
        <f>IF(cf_purch[[#This Row],[VAT]]="","",cf_purch[[#This Row],[VAT]]*cf_purch[[#This Row],[Balance%]])</f>
        <v/>
      </c>
      <c r="AB24" s="127" t="str">
        <f>IF(cf_purch[[#This Row],[VAT]]="","",cf_purch[[#This Row],[VAT]]*cf_purch[[#This Row],[Deposit %]])</f>
        <v/>
      </c>
      <c r="AC24" s="126" t="str">
        <f>IF(cf_purch[[#This Row],[Balance Date]]="","",cf_purch[[#This Row],[Balance Date]]+120)</f>
        <v/>
      </c>
      <c r="AD24" s="126" t="str">
        <f>IF(cf_purch[[#This Row],[Deposit Date]]="","",cf_purch[[#This Row],[Deposit Date]]+120)</f>
        <v/>
      </c>
      <c r="AE24" s="123" t="str">
        <f>IF(cf_purch[[#This Row],[Dep VAT Date]]="","",_xlfn.ISOWEEKNUM(cf_purch[[#This Row],[Dep VAT Date]]))</f>
        <v/>
      </c>
      <c r="AF24" s="123" t="str">
        <f>IF(cf_purch[[#This Row],[Dep VAT Date]]="","",YEAR(cf_purch[[#This Row],[Dep VAT Date]]))</f>
        <v/>
      </c>
      <c r="AG24" s="123" t="str">
        <f>IF(cf_purch[[#This Row],[Bal VAT Date]]="","",_xlfn.ISOWEEKNUM(cf_purch[[#This Row],[Bal VAT Date]]))</f>
        <v/>
      </c>
      <c r="AH24" s="123" t="str">
        <f>IF(cf_purch[[#This Row],[Bal VAT Date]]="","",YEAR(cf_purch[[#This Row],[Bal VAT Date]]))</f>
        <v/>
      </c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J24" s="111"/>
    </row>
    <row r="25" spans="2:62" ht="15.75" customHeight="1" x14ac:dyDescent="0.25">
      <c r="B25" s="272"/>
      <c r="C25" s="272"/>
      <c r="D25" s="272"/>
      <c r="E25" s="272"/>
      <c r="F25" s="272"/>
      <c r="G25" s="28"/>
      <c r="H25" s="134"/>
      <c r="I25" s="134"/>
      <c r="J25" s="135"/>
      <c r="K25" s="136"/>
      <c r="L25" s="137"/>
      <c r="M25" s="133"/>
      <c r="N25" s="125" t="str">
        <f>IF(cf_purch[[#This Row],[Deposit %]]&lt;&gt;"",1-cf_purch[[#This Row],[Deposit %]],"")</f>
        <v/>
      </c>
      <c r="O25" s="133"/>
      <c r="P25" s="128" t="str">
        <f>IF(cf_purch[[#This Row],[Purch Cost]]&lt;&gt;"",cf_purch[[#This Row],[Quantity]]*cf_purch[[#This Row],[Purch Cost]],"")</f>
        <v/>
      </c>
      <c r="Q25" s="127" t="str">
        <f>IF(cf_purch[[#This Row],[Purch Cost]]&lt;&gt;"",cf_purch[[#This Row],[Quantity]]*cf_purch[[#This Row],[Purch Cost]]*cf_purch[[#This Row],[Deposit %]],"")</f>
        <v/>
      </c>
      <c r="R25" s="129" t="str">
        <f>IF(cf_purch[[#This Row],[Purch Cost]]&lt;&gt;"",cf_purch[[#This Row],[Quantity]]*cf_purch[[#This Row],[Purch Cost]]*cf_purch[[#This Row],[Balance%]],"")</f>
        <v/>
      </c>
      <c r="S25" s="127" t="str">
        <f>IF(cf_purch[[#This Row],[Deposit Date]]&lt;&gt;"",_xlfn.ISOWEEKNUM(cf_purch[[#This Row],[Deposit Date]]),"")</f>
        <v/>
      </c>
      <c r="T25" s="127" t="str">
        <f>IF(cf_purch[[#This Row],[Balance Date]]&lt;&gt;"",_xlfn.ISOWEEKNUM(cf_purch[[#This Row],[Balance Date]]),"")</f>
        <v/>
      </c>
      <c r="U25" s="127" t="str">
        <f>IF(cf_purch[[#This Row],[Deposit Date]]&lt;&gt;"",YEAR(cf_purch[[#This Row],[Deposit Date]]),"")</f>
        <v/>
      </c>
      <c r="V25" s="127" t="str">
        <f>IF(cf_purch[[#This Row],[Balance Date]]&lt;&gt;"",YEAR(cf_purch[[#This Row],[Balance Date]]),"")</f>
        <v/>
      </c>
      <c r="W25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25" s="127" t="str">
        <f>IF(cf_purch[[#This Row],[VAT]]="","",cf_purch[[#This Row],[VAT]]+cf_purch[[#This Row],[Total Cost]])</f>
        <v/>
      </c>
      <c r="Y25" s="127" t="str">
        <f>IF(cf_purch[[#This Row],[VAT Total]]="","",cf_purch[[#This Row],[VAT Total]]*cf_purch[[#This Row],[Balance%]])</f>
        <v/>
      </c>
      <c r="Z25" s="127" t="str">
        <f>IF(cf_purch[[#This Row],[VAT Total]]="","",cf_purch[[#This Row],[VAT Total]]*cf_purch[[#This Row],[Deposit %]])</f>
        <v/>
      </c>
      <c r="AA25" s="127" t="str">
        <f>IF(cf_purch[[#This Row],[VAT]]="","",cf_purch[[#This Row],[VAT]]*cf_purch[[#This Row],[Balance%]])</f>
        <v/>
      </c>
      <c r="AB25" s="127" t="str">
        <f>IF(cf_purch[[#This Row],[VAT]]="","",cf_purch[[#This Row],[VAT]]*cf_purch[[#This Row],[Deposit %]])</f>
        <v/>
      </c>
      <c r="AC25" s="126" t="str">
        <f>IF(cf_purch[[#This Row],[Balance Date]]="","",cf_purch[[#This Row],[Balance Date]]+120)</f>
        <v/>
      </c>
      <c r="AD25" s="126" t="str">
        <f>IF(cf_purch[[#This Row],[Deposit Date]]="","",cf_purch[[#This Row],[Deposit Date]]+120)</f>
        <v/>
      </c>
      <c r="AE25" s="123" t="str">
        <f>IF(cf_purch[[#This Row],[Dep VAT Date]]="","",_xlfn.ISOWEEKNUM(cf_purch[[#This Row],[Dep VAT Date]]))</f>
        <v/>
      </c>
      <c r="AF25" s="123" t="str">
        <f>IF(cf_purch[[#This Row],[Dep VAT Date]]="","",YEAR(cf_purch[[#This Row],[Dep VAT Date]]))</f>
        <v/>
      </c>
      <c r="AG25" s="123" t="str">
        <f>IF(cf_purch[[#This Row],[Bal VAT Date]]="","",_xlfn.ISOWEEKNUM(cf_purch[[#This Row],[Bal VAT Date]]))</f>
        <v/>
      </c>
      <c r="AH25" s="123" t="str">
        <f>IF(cf_purch[[#This Row],[Bal VAT Date]]="","",YEAR(cf_purch[[#This Row],[Bal VAT Date]]))</f>
        <v/>
      </c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J25" s="111"/>
    </row>
    <row r="26" spans="2:62" ht="15.75" customHeight="1" x14ac:dyDescent="0.25">
      <c r="B26" s="272"/>
      <c r="C26" s="272"/>
      <c r="D26" s="272"/>
      <c r="E26" s="272"/>
      <c r="F26" s="272"/>
      <c r="G26" s="28"/>
      <c r="H26" s="134"/>
      <c r="I26" s="134"/>
      <c r="J26" s="135"/>
      <c r="K26" s="136"/>
      <c r="L26" s="137"/>
      <c r="M26" s="133"/>
      <c r="N26" s="125" t="str">
        <f>IF(cf_purch[[#This Row],[Deposit %]]&lt;&gt;"",1-cf_purch[[#This Row],[Deposit %]],"")</f>
        <v/>
      </c>
      <c r="O26" s="133"/>
      <c r="P26" s="128" t="str">
        <f>IF(cf_purch[[#This Row],[Purch Cost]]&lt;&gt;"",cf_purch[[#This Row],[Quantity]]*cf_purch[[#This Row],[Purch Cost]],"")</f>
        <v/>
      </c>
      <c r="Q26" s="127" t="str">
        <f>IF(cf_purch[[#This Row],[Purch Cost]]&lt;&gt;"",cf_purch[[#This Row],[Quantity]]*cf_purch[[#This Row],[Purch Cost]]*cf_purch[[#This Row],[Deposit %]],"")</f>
        <v/>
      </c>
      <c r="R26" s="129" t="str">
        <f>IF(cf_purch[[#This Row],[Purch Cost]]&lt;&gt;"",cf_purch[[#This Row],[Quantity]]*cf_purch[[#This Row],[Purch Cost]]*cf_purch[[#This Row],[Balance%]],"")</f>
        <v/>
      </c>
      <c r="S26" s="127" t="str">
        <f>IF(cf_purch[[#This Row],[Deposit Date]]&lt;&gt;"",_xlfn.ISOWEEKNUM(cf_purch[[#This Row],[Deposit Date]]),"")</f>
        <v/>
      </c>
      <c r="T26" s="127" t="str">
        <f>IF(cf_purch[[#This Row],[Balance Date]]&lt;&gt;"",_xlfn.ISOWEEKNUM(cf_purch[[#This Row],[Balance Date]]),"")</f>
        <v/>
      </c>
      <c r="U26" s="127" t="str">
        <f>IF(cf_purch[[#This Row],[Deposit Date]]&lt;&gt;"",YEAR(cf_purch[[#This Row],[Deposit Date]]),"")</f>
        <v/>
      </c>
      <c r="V26" s="127" t="str">
        <f>IF(cf_purch[[#This Row],[Balance Date]]&lt;&gt;"",YEAR(cf_purch[[#This Row],[Balance Date]]),"")</f>
        <v/>
      </c>
      <c r="W26" s="127" t="str">
        <f>IF(cf_purch[[#This Row],[Purch Cost]]&lt;&gt;"",IF(_xlfn.XLOOKUP(cf_purch[[#This Row],[Stock Code]],stock_cost[Stock Code],stock_cost[Cost Currency],"",0,1)="ZAR",cf_purch[[#This Row],[Total Cost]]*0.15,0),"")</f>
        <v/>
      </c>
      <c r="X26" s="127" t="str">
        <f>IF(cf_purch[[#This Row],[VAT]]="","",cf_purch[[#This Row],[VAT]]+cf_purch[[#This Row],[Total Cost]])</f>
        <v/>
      </c>
      <c r="Y26" s="127" t="str">
        <f>IF(cf_purch[[#This Row],[VAT Total]]="","",cf_purch[[#This Row],[VAT Total]]*cf_purch[[#This Row],[Balance%]])</f>
        <v/>
      </c>
      <c r="Z26" s="127" t="str">
        <f>IF(cf_purch[[#This Row],[VAT Total]]="","",cf_purch[[#This Row],[VAT Total]]*cf_purch[[#This Row],[Deposit %]])</f>
        <v/>
      </c>
      <c r="AA26" s="127" t="str">
        <f>IF(cf_purch[[#This Row],[VAT]]="","",cf_purch[[#This Row],[VAT]]*cf_purch[[#This Row],[Balance%]])</f>
        <v/>
      </c>
      <c r="AB26" s="127" t="str">
        <f>IF(cf_purch[[#This Row],[VAT]]="","",cf_purch[[#This Row],[VAT]]*cf_purch[[#This Row],[Deposit %]])</f>
        <v/>
      </c>
      <c r="AC26" s="126" t="str">
        <f>IF(cf_purch[[#This Row],[Balance Date]]="","",cf_purch[[#This Row],[Balance Date]]+120)</f>
        <v/>
      </c>
      <c r="AD26" s="126" t="str">
        <f>IF(cf_purch[[#This Row],[Deposit Date]]="","",cf_purch[[#This Row],[Deposit Date]]+120)</f>
        <v/>
      </c>
      <c r="AE26" s="123" t="str">
        <f>IF(cf_purch[[#This Row],[Dep VAT Date]]="","",_xlfn.ISOWEEKNUM(cf_purch[[#This Row],[Dep VAT Date]]))</f>
        <v/>
      </c>
      <c r="AF26" s="123" t="str">
        <f>IF(cf_purch[[#This Row],[Dep VAT Date]]="","",YEAR(cf_purch[[#This Row],[Dep VAT Date]]))</f>
        <v/>
      </c>
      <c r="AG26" s="123" t="str">
        <f>IF(cf_purch[[#This Row],[Bal VAT Date]]="","",_xlfn.ISOWEEKNUM(cf_purch[[#This Row],[Bal VAT Date]]))</f>
        <v/>
      </c>
      <c r="AH26" s="123" t="str">
        <f>IF(cf_purch[[#This Row],[Bal VAT Date]]="","",YEAR(cf_purch[[#This Row],[Bal VAT Date]]))</f>
        <v/>
      </c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J26" s="111"/>
    </row>
    <row r="27" spans="2:62" ht="15.75" customHeight="1" x14ac:dyDescent="0.25">
      <c r="B27" s="272"/>
      <c r="C27" s="272"/>
      <c r="D27" s="272"/>
      <c r="E27" s="272"/>
      <c r="F27" s="272"/>
      <c r="G27" s="28"/>
      <c r="H27" s="234"/>
      <c r="I27" s="234"/>
      <c r="J27" s="235"/>
      <c r="K27" s="236"/>
      <c r="L27" s="237"/>
      <c r="M27" s="238"/>
      <c r="N27" s="239" t="str">
        <f>IF(cf_purch[[#This Row],[Deposit %]]&lt;&gt;"",1-cf_purch[[#This Row],[Deposit %]],"")</f>
        <v/>
      </c>
      <c r="O27" s="238"/>
      <c r="P27" s="240" t="str">
        <f>IF(cf_purch[[#This Row],[Purch Cost]]&lt;&gt;"",cf_purch[[#This Row],[Quantity]]*cf_purch[[#This Row],[Purch Cost]],"")</f>
        <v/>
      </c>
      <c r="Q27" s="241" t="str">
        <f>IF(cf_purch[[#This Row],[Purch Cost]]&lt;&gt;"",cf_purch[[#This Row],[Quantity]]*cf_purch[[#This Row],[Purch Cost]]*cf_purch[[#This Row],[Deposit %]],"")</f>
        <v/>
      </c>
      <c r="R27" s="242" t="str">
        <f>IF(cf_purch[[#This Row],[Purch Cost]]&lt;&gt;"",cf_purch[[#This Row],[Quantity]]*cf_purch[[#This Row],[Purch Cost]]*cf_purch[[#This Row],[Balance%]],"")</f>
        <v/>
      </c>
      <c r="S27" s="241" t="str">
        <f>IF(cf_purch[[#This Row],[Deposit Date]]&lt;&gt;"",_xlfn.ISOWEEKNUM(cf_purch[[#This Row],[Deposit Date]]),"")</f>
        <v/>
      </c>
      <c r="T27" s="241" t="str">
        <f>IF(cf_purch[[#This Row],[Balance Date]]&lt;&gt;"",_xlfn.ISOWEEKNUM(cf_purch[[#This Row],[Balance Date]]),"")</f>
        <v/>
      </c>
      <c r="U27" s="241" t="str">
        <f>IF(cf_purch[[#This Row],[Deposit Date]]&lt;&gt;"",YEAR(cf_purch[[#This Row],[Deposit Date]]),"")</f>
        <v/>
      </c>
      <c r="V27" s="241" t="str">
        <f>IF(cf_purch[[#This Row],[Balance Date]]&lt;&gt;"",YEAR(cf_purch[[#This Row],[Balance Date]]),"")</f>
        <v/>
      </c>
      <c r="W27" s="241" t="str">
        <f>IF(cf_purch[[#This Row],[Purch Cost]]&lt;&gt;"",IF(_xlfn.XLOOKUP(cf_purch[[#This Row],[Stock Code]],stock_cost[Stock Code],stock_cost[Cost Currency],"",0,1)="ZAR",cf_purch[[#This Row],[Total Cost]]*0.15,0),"")</f>
        <v/>
      </c>
      <c r="X27" s="241" t="str">
        <f>IF(cf_purch[[#This Row],[VAT]]="","",cf_purch[[#This Row],[VAT]]+cf_purch[[#This Row],[Total Cost]])</f>
        <v/>
      </c>
      <c r="Y27" s="241" t="str">
        <f>IF(cf_purch[[#This Row],[VAT Total]]="","",cf_purch[[#This Row],[VAT Total]]*cf_purch[[#This Row],[Balance%]])</f>
        <v/>
      </c>
      <c r="Z27" s="241" t="str">
        <f>IF(cf_purch[[#This Row],[VAT Total]]="","",cf_purch[[#This Row],[VAT Total]]*cf_purch[[#This Row],[Deposit %]])</f>
        <v/>
      </c>
      <c r="AA27" s="241" t="str">
        <f>IF(cf_purch[[#This Row],[VAT]]="","",cf_purch[[#This Row],[VAT]]*cf_purch[[#This Row],[Balance%]])</f>
        <v/>
      </c>
      <c r="AB27" s="241" t="str">
        <f>IF(cf_purch[[#This Row],[VAT]]="","",cf_purch[[#This Row],[VAT]]*cf_purch[[#This Row],[Deposit %]])</f>
        <v/>
      </c>
      <c r="AC27" s="243" t="str">
        <f>IF(cf_purch[[#This Row],[Balance Date]]="","",cf_purch[[#This Row],[Balance Date]]+120)</f>
        <v/>
      </c>
      <c r="AD27" s="243" t="str">
        <f>IF(cf_purch[[#This Row],[Deposit Date]]="","",cf_purch[[#This Row],[Deposit Date]]+120)</f>
        <v/>
      </c>
      <c r="AE27" s="244" t="str">
        <f>IF(cf_purch[[#This Row],[Dep VAT Date]]="","",_xlfn.ISOWEEKNUM(cf_purch[[#This Row],[Dep VAT Date]]))</f>
        <v/>
      </c>
      <c r="AF27" s="244" t="str">
        <f>IF(cf_purch[[#This Row],[Dep VAT Date]]="","",YEAR(cf_purch[[#This Row],[Dep VAT Date]]))</f>
        <v/>
      </c>
      <c r="AG27" s="244" t="str">
        <f>IF(cf_purch[[#This Row],[Bal VAT Date]]="","",_xlfn.ISOWEEKNUM(cf_purch[[#This Row],[Bal VAT Date]]))</f>
        <v/>
      </c>
      <c r="AH27" s="244" t="str">
        <f>IF(cf_purch[[#This Row],[Bal VAT Date]]="","",YEAR(cf_purch[[#This Row],[Bal VAT Date]]))</f>
        <v/>
      </c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J27" s="111"/>
    </row>
    <row r="28" spans="2:62" ht="15.75" customHeight="1" x14ac:dyDescent="0.25">
      <c r="B28" s="111"/>
      <c r="C28" s="111"/>
      <c r="D28" s="111"/>
      <c r="E28" s="111"/>
      <c r="F28" s="28"/>
      <c r="G28" s="28"/>
      <c r="H28" s="28"/>
      <c r="I28" s="28"/>
      <c r="J28" s="28"/>
      <c r="K28" s="28"/>
      <c r="L28" s="28"/>
      <c r="M28" s="28"/>
      <c r="N28" s="86"/>
      <c r="O28" s="111"/>
      <c r="P28" s="28"/>
      <c r="Q28" s="28"/>
      <c r="R28" s="28"/>
      <c r="S28" s="28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J28" s="111"/>
    </row>
    <row r="29" spans="2:62" ht="15.75" customHeight="1" x14ac:dyDescent="0.2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6"/>
    </row>
    <row r="30" spans="2:62" ht="15.75" customHeight="1" x14ac:dyDescent="0.2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9"/>
    </row>
    <row r="31" spans="2:62" ht="15.75" customHeight="1" x14ac:dyDescent="0.25">
      <c r="B31" s="32"/>
      <c r="C31" s="48"/>
      <c r="D31" s="113"/>
      <c r="E31" s="114"/>
      <c r="F31" s="114"/>
      <c r="G31" s="28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28"/>
    </row>
    <row r="32" spans="2:62" ht="15.75" customHeight="1" x14ac:dyDescent="0.25">
      <c r="B32" s="32"/>
      <c r="C32" s="48"/>
      <c r="D32" s="109">
        <v>0.12</v>
      </c>
      <c r="E32" s="115"/>
      <c r="F32" s="114"/>
      <c r="G32" s="28"/>
      <c r="H32" s="35">
        <f>D33</f>
        <v>2025</v>
      </c>
      <c r="I32" s="35">
        <f>YEAR(I37)</f>
        <v>2025</v>
      </c>
      <c r="J32" s="35">
        <f t="shared" ref="J32:BG32" si="0">YEAR(J37)</f>
        <v>2025</v>
      </c>
      <c r="K32" s="35">
        <f t="shared" si="0"/>
        <v>2025</v>
      </c>
      <c r="L32" s="35">
        <f t="shared" si="0"/>
        <v>2025</v>
      </c>
      <c r="M32" s="35">
        <f t="shared" si="0"/>
        <v>2026</v>
      </c>
      <c r="N32" s="35">
        <f t="shared" si="0"/>
        <v>2026</v>
      </c>
      <c r="O32" s="35">
        <f t="shared" si="0"/>
        <v>2026</v>
      </c>
      <c r="P32" s="35">
        <f t="shared" si="0"/>
        <v>2026</v>
      </c>
      <c r="Q32" s="35">
        <f t="shared" si="0"/>
        <v>2026</v>
      </c>
      <c r="R32" s="35">
        <f t="shared" si="0"/>
        <v>2026</v>
      </c>
      <c r="S32" s="35">
        <f t="shared" si="0"/>
        <v>2026</v>
      </c>
      <c r="T32" s="35">
        <f t="shared" si="0"/>
        <v>2026</v>
      </c>
      <c r="U32" s="35">
        <f t="shared" si="0"/>
        <v>2026</v>
      </c>
      <c r="V32" s="35">
        <f t="shared" si="0"/>
        <v>2026</v>
      </c>
      <c r="W32" s="35">
        <f t="shared" si="0"/>
        <v>2026</v>
      </c>
      <c r="X32" s="35">
        <f t="shared" si="0"/>
        <v>2026</v>
      </c>
      <c r="Y32" s="35">
        <f t="shared" si="0"/>
        <v>2026</v>
      </c>
      <c r="Z32" s="35">
        <f t="shared" si="0"/>
        <v>2026</v>
      </c>
      <c r="AA32" s="35">
        <f t="shared" si="0"/>
        <v>2026</v>
      </c>
      <c r="AB32" s="35">
        <f t="shared" si="0"/>
        <v>2026</v>
      </c>
      <c r="AC32" s="35">
        <f t="shared" si="0"/>
        <v>2026</v>
      </c>
      <c r="AD32" s="35">
        <f t="shared" si="0"/>
        <v>2026</v>
      </c>
      <c r="AE32" s="35">
        <f t="shared" si="0"/>
        <v>2026</v>
      </c>
      <c r="AF32" s="35">
        <f t="shared" si="0"/>
        <v>2026</v>
      </c>
      <c r="AG32" s="35">
        <f t="shared" si="0"/>
        <v>2026</v>
      </c>
      <c r="AH32" s="35">
        <f t="shared" si="0"/>
        <v>2026</v>
      </c>
      <c r="AI32" s="35">
        <f t="shared" si="0"/>
        <v>2026</v>
      </c>
      <c r="AJ32" s="35">
        <f t="shared" si="0"/>
        <v>2026</v>
      </c>
      <c r="AK32" s="35">
        <f t="shared" si="0"/>
        <v>2026</v>
      </c>
      <c r="AL32" s="35">
        <f t="shared" si="0"/>
        <v>2026</v>
      </c>
      <c r="AM32" s="35">
        <f t="shared" si="0"/>
        <v>2026</v>
      </c>
      <c r="AN32" s="35">
        <f t="shared" si="0"/>
        <v>2026</v>
      </c>
      <c r="AO32" s="35">
        <f t="shared" si="0"/>
        <v>2026</v>
      </c>
      <c r="AP32" s="35">
        <f t="shared" si="0"/>
        <v>2026</v>
      </c>
      <c r="AQ32" s="35">
        <f t="shared" si="0"/>
        <v>2026</v>
      </c>
      <c r="AR32" s="35">
        <f t="shared" si="0"/>
        <v>2026</v>
      </c>
      <c r="AS32" s="35">
        <f t="shared" si="0"/>
        <v>2026</v>
      </c>
      <c r="AT32" s="35">
        <f t="shared" si="0"/>
        <v>2026</v>
      </c>
      <c r="AU32" s="35">
        <f t="shared" si="0"/>
        <v>2026</v>
      </c>
      <c r="AV32" s="35">
        <f t="shared" si="0"/>
        <v>2026</v>
      </c>
      <c r="AW32" s="35">
        <f t="shared" si="0"/>
        <v>2026</v>
      </c>
      <c r="AX32" s="35">
        <f t="shared" si="0"/>
        <v>2026</v>
      </c>
      <c r="AY32" s="35">
        <f t="shared" si="0"/>
        <v>2026</v>
      </c>
      <c r="AZ32" s="35">
        <f t="shared" si="0"/>
        <v>2026</v>
      </c>
      <c r="BA32" s="35">
        <f t="shared" si="0"/>
        <v>2026</v>
      </c>
      <c r="BB32" s="35">
        <f t="shared" si="0"/>
        <v>2026</v>
      </c>
      <c r="BC32" s="35">
        <f t="shared" si="0"/>
        <v>2026</v>
      </c>
      <c r="BD32" s="35">
        <f t="shared" si="0"/>
        <v>2026</v>
      </c>
      <c r="BE32" s="35">
        <f t="shared" si="0"/>
        <v>2026</v>
      </c>
      <c r="BF32" s="35">
        <f t="shared" si="0"/>
        <v>2026</v>
      </c>
      <c r="BG32" s="35">
        <f t="shared" si="0"/>
        <v>2026</v>
      </c>
      <c r="BH32" s="28"/>
      <c r="BI32" s="111"/>
      <c r="BJ32" s="111"/>
    </row>
    <row r="33" spans="2:62" ht="15.75" customHeight="1" x14ac:dyDescent="0.25">
      <c r="B33" s="32"/>
      <c r="C33" s="116"/>
      <c r="D33" s="110">
        <f>IF(F37="","",YEAR(F37-WEEKDAY(F37,2)+4))</f>
        <v>2025</v>
      </c>
      <c r="E33" s="38"/>
      <c r="F33" s="110">
        <f>IF(F37="","",_xlfn.ISOWEEKNUM(F37))</f>
        <v>49</v>
      </c>
      <c r="G33" s="28"/>
      <c r="H33" s="36">
        <f>F33</f>
        <v>49</v>
      </c>
      <c r="I33" s="36">
        <f>_xlfn.ISOWEEKNUM(I37)</f>
        <v>50</v>
      </c>
      <c r="J33" s="36">
        <f t="shared" ref="J33:BG33" si="1">_xlfn.ISOWEEKNUM(J37)</f>
        <v>51</v>
      </c>
      <c r="K33" s="36">
        <f t="shared" si="1"/>
        <v>52</v>
      </c>
      <c r="L33" s="36">
        <f t="shared" si="1"/>
        <v>1</v>
      </c>
      <c r="M33" s="36">
        <f t="shared" si="1"/>
        <v>2</v>
      </c>
      <c r="N33" s="36">
        <f t="shared" si="1"/>
        <v>3</v>
      </c>
      <c r="O33" s="36">
        <f t="shared" si="1"/>
        <v>4</v>
      </c>
      <c r="P33" s="36">
        <f t="shared" si="1"/>
        <v>5</v>
      </c>
      <c r="Q33" s="36">
        <f t="shared" si="1"/>
        <v>6</v>
      </c>
      <c r="R33" s="36">
        <f t="shared" si="1"/>
        <v>7</v>
      </c>
      <c r="S33" s="36">
        <f t="shared" si="1"/>
        <v>8</v>
      </c>
      <c r="T33" s="36">
        <f t="shared" si="1"/>
        <v>9</v>
      </c>
      <c r="U33" s="36">
        <f t="shared" si="1"/>
        <v>10</v>
      </c>
      <c r="V33" s="36">
        <f t="shared" si="1"/>
        <v>11</v>
      </c>
      <c r="W33" s="36">
        <f t="shared" si="1"/>
        <v>12</v>
      </c>
      <c r="X33" s="36">
        <f t="shared" si="1"/>
        <v>13</v>
      </c>
      <c r="Y33" s="36">
        <f t="shared" si="1"/>
        <v>14</v>
      </c>
      <c r="Z33" s="36">
        <f t="shared" si="1"/>
        <v>15</v>
      </c>
      <c r="AA33" s="36">
        <f t="shared" si="1"/>
        <v>16</v>
      </c>
      <c r="AB33" s="36">
        <f t="shared" si="1"/>
        <v>17</v>
      </c>
      <c r="AC33" s="36">
        <f t="shared" si="1"/>
        <v>18</v>
      </c>
      <c r="AD33" s="36">
        <f t="shared" si="1"/>
        <v>19</v>
      </c>
      <c r="AE33" s="36">
        <f t="shared" si="1"/>
        <v>20</v>
      </c>
      <c r="AF33" s="36">
        <f t="shared" si="1"/>
        <v>21</v>
      </c>
      <c r="AG33" s="36">
        <f t="shared" si="1"/>
        <v>22</v>
      </c>
      <c r="AH33" s="36">
        <f t="shared" si="1"/>
        <v>23</v>
      </c>
      <c r="AI33" s="36">
        <f t="shared" si="1"/>
        <v>24</v>
      </c>
      <c r="AJ33" s="36">
        <f t="shared" si="1"/>
        <v>25</v>
      </c>
      <c r="AK33" s="36">
        <f t="shared" si="1"/>
        <v>26</v>
      </c>
      <c r="AL33" s="36">
        <f t="shared" si="1"/>
        <v>27</v>
      </c>
      <c r="AM33" s="36">
        <f t="shared" si="1"/>
        <v>28</v>
      </c>
      <c r="AN33" s="36">
        <f t="shared" si="1"/>
        <v>29</v>
      </c>
      <c r="AO33" s="36">
        <f t="shared" si="1"/>
        <v>30</v>
      </c>
      <c r="AP33" s="36">
        <f t="shared" si="1"/>
        <v>31</v>
      </c>
      <c r="AQ33" s="36">
        <f t="shared" si="1"/>
        <v>32</v>
      </c>
      <c r="AR33" s="36">
        <f t="shared" si="1"/>
        <v>33</v>
      </c>
      <c r="AS33" s="36">
        <f t="shared" si="1"/>
        <v>34</v>
      </c>
      <c r="AT33" s="36">
        <f t="shared" si="1"/>
        <v>35</v>
      </c>
      <c r="AU33" s="36">
        <f t="shared" si="1"/>
        <v>36</v>
      </c>
      <c r="AV33" s="36">
        <f t="shared" si="1"/>
        <v>37</v>
      </c>
      <c r="AW33" s="36">
        <f t="shared" si="1"/>
        <v>38</v>
      </c>
      <c r="AX33" s="36">
        <f t="shared" si="1"/>
        <v>39</v>
      </c>
      <c r="AY33" s="36">
        <f t="shared" si="1"/>
        <v>40</v>
      </c>
      <c r="AZ33" s="36">
        <f t="shared" si="1"/>
        <v>41</v>
      </c>
      <c r="BA33" s="36">
        <f t="shared" si="1"/>
        <v>42</v>
      </c>
      <c r="BB33" s="36">
        <f t="shared" si="1"/>
        <v>43</v>
      </c>
      <c r="BC33" s="36">
        <f t="shared" si="1"/>
        <v>44</v>
      </c>
      <c r="BD33" s="36">
        <f t="shared" si="1"/>
        <v>45</v>
      </c>
      <c r="BE33" s="36">
        <f t="shared" si="1"/>
        <v>46</v>
      </c>
      <c r="BF33" s="36">
        <f t="shared" si="1"/>
        <v>47</v>
      </c>
      <c r="BG33" s="36">
        <f t="shared" si="1"/>
        <v>48</v>
      </c>
      <c r="BH33" s="28"/>
      <c r="BJ33" s="111"/>
    </row>
    <row r="34" spans="2:62" ht="15.75" customHeight="1" x14ac:dyDescent="0.25">
      <c r="B34" s="32"/>
      <c r="C34" s="116"/>
      <c r="D34" s="111"/>
      <c r="E34" s="28"/>
      <c r="F34" s="48"/>
      <c r="G34" s="2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28"/>
      <c r="BJ34" s="111"/>
    </row>
    <row r="35" spans="2:62" ht="15.75" customHeight="1" x14ac:dyDescent="0.25">
      <c r="B35" s="32"/>
      <c r="C35" s="28"/>
      <c r="F35" s="230"/>
      <c r="G35" s="38"/>
      <c r="H35" s="39">
        <v>1</v>
      </c>
      <c r="I35" s="39">
        <v>2</v>
      </c>
      <c r="J35" s="39">
        <v>3</v>
      </c>
      <c r="K35" s="39">
        <v>4</v>
      </c>
      <c r="L35" s="39">
        <v>5</v>
      </c>
      <c r="M35" s="39">
        <v>6</v>
      </c>
      <c r="N35" s="39">
        <v>7</v>
      </c>
      <c r="O35" s="39">
        <v>8</v>
      </c>
      <c r="P35" s="39">
        <v>9</v>
      </c>
      <c r="Q35" s="39">
        <v>10</v>
      </c>
      <c r="R35" s="39">
        <v>11</v>
      </c>
      <c r="S35" s="39">
        <v>12</v>
      </c>
      <c r="T35" s="39">
        <v>13</v>
      </c>
      <c r="U35" s="39">
        <v>14</v>
      </c>
      <c r="V35" s="39">
        <v>15</v>
      </c>
      <c r="W35" s="39">
        <v>16</v>
      </c>
      <c r="X35" s="39">
        <v>17</v>
      </c>
      <c r="Y35" s="39">
        <v>18</v>
      </c>
      <c r="Z35" s="39">
        <v>19</v>
      </c>
      <c r="AA35" s="39">
        <v>20</v>
      </c>
      <c r="AB35" s="39">
        <v>21</v>
      </c>
      <c r="AC35" s="39">
        <v>22</v>
      </c>
      <c r="AD35" s="39">
        <v>23</v>
      </c>
      <c r="AE35" s="39">
        <v>24</v>
      </c>
      <c r="AF35" s="39">
        <v>25</v>
      </c>
      <c r="AG35" s="39">
        <v>26</v>
      </c>
      <c r="AH35" s="39">
        <v>27</v>
      </c>
      <c r="AI35" s="39">
        <v>28</v>
      </c>
      <c r="AJ35" s="39">
        <v>29</v>
      </c>
      <c r="AK35" s="39">
        <v>30</v>
      </c>
      <c r="AL35" s="39">
        <v>31</v>
      </c>
      <c r="AM35" s="39">
        <v>32</v>
      </c>
      <c r="AN35" s="39">
        <v>33</v>
      </c>
      <c r="AO35" s="39">
        <v>34</v>
      </c>
      <c r="AP35" s="39">
        <v>35</v>
      </c>
      <c r="AQ35" s="39">
        <v>36</v>
      </c>
      <c r="AR35" s="39">
        <v>37</v>
      </c>
      <c r="AS35" s="39">
        <v>38</v>
      </c>
      <c r="AT35" s="39">
        <v>39</v>
      </c>
      <c r="AU35" s="39">
        <v>40</v>
      </c>
      <c r="AV35" s="39">
        <v>41</v>
      </c>
      <c r="AW35" s="39">
        <v>42</v>
      </c>
      <c r="AX35" s="39">
        <v>43</v>
      </c>
      <c r="AY35" s="39">
        <v>44</v>
      </c>
      <c r="AZ35" s="39">
        <v>45</v>
      </c>
      <c r="BA35" s="39">
        <v>46</v>
      </c>
      <c r="BB35" s="39">
        <v>47</v>
      </c>
      <c r="BC35" s="39">
        <v>48</v>
      </c>
      <c r="BD35" s="39">
        <v>49</v>
      </c>
      <c r="BE35" s="39">
        <v>50</v>
      </c>
      <c r="BF35" s="39">
        <v>51</v>
      </c>
      <c r="BG35" s="39">
        <v>52</v>
      </c>
      <c r="BH35" s="33"/>
      <c r="BJ35" s="111"/>
    </row>
    <row r="36" spans="2:62" ht="15.75" hidden="1" customHeight="1" x14ac:dyDescent="0.25">
      <c r="B36" s="32"/>
      <c r="C36" s="111"/>
      <c r="F36" s="230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J36" s="111"/>
    </row>
    <row r="37" spans="2:62" ht="15.75" customHeight="1" thickBot="1" x14ac:dyDescent="0.3">
      <c r="B37" s="32"/>
      <c r="C37" s="117"/>
      <c r="D37" s="232" t="s">
        <v>170</v>
      </c>
      <c r="E37" s="231"/>
      <c r="F37" s="233">
        <v>45992</v>
      </c>
      <c r="G37" s="39"/>
      <c r="H37" s="40">
        <f>IFERROR(DATE(H32, 1, -2) - WEEKDAY(DATE(H32, 1, 3)) + H33 * 7,"")</f>
        <v>45992</v>
      </c>
      <c r="I37" s="41">
        <f>IFERROR(H37+7,"")</f>
        <v>45999</v>
      </c>
      <c r="J37" s="41">
        <f t="shared" ref="J37:BG37" si="2">IFERROR(I37+7,"")</f>
        <v>46006</v>
      </c>
      <c r="K37" s="41">
        <f t="shared" si="2"/>
        <v>46013</v>
      </c>
      <c r="L37" s="41">
        <f t="shared" si="2"/>
        <v>46020</v>
      </c>
      <c r="M37" s="41">
        <f t="shared" si="2"/>
        <v>46027</v>
      </c>
      <c r="N37" s="41">
        <f t="shared" si="2"/>
        <v>46034</v>
      </c>
      <c r="O37" s="41">
        <f t="shared" si="2"/>
        <v>46041</v>
      </c>
      <c r="P37" s="41">
        <f t="shared" si="2"/>
        <v>46048</v>
      </c>
      <c r="Q37" s="41">
        <f t="shared" si="2"/>
        <v>46055</v>
      </c>
      <c r="R37" s="41">
        <f t="shared" si="2"/>
        <v>46062</v>
      </c>
      <c r="S37" s="41">
        <f t="shared" si="2"/>
        <v>46069</v>
      </c>
      <c r="T37" s="41">
        <f t="shared" si="2"/>
        <v>46076</v>
      </c>
      <c r="U37" s="41">
        <f t="shared" si="2"/>
        <v>46083</v>
      </c>
      <c r="V37" s="41">
        <f t="shared" si="2"/>
        <v>46090</v>
      </c>
      <c r="W37" s="41">
        <f t="shared" si="2"/>
        <v>46097</v>
      </c>
      <c r="X37" s="41">
        <f t="shared" si="2"/>
        <v>46104</v>
      </c>
      <c r="Y37" s="41">
        <f t="shared" si="2"/>
        <v>46111</v>
      </c>
      <c r="Z37" s="41">
        <f t="shared" si="2"/>
        <v>46118</v>
      </c>
      <c r="AA37" s="41">
        <f t="shared" si="2"/>
        <v>46125</v>
      </c>
      <c r="AB37" s="41">
        <f t="shared" si="2"/>
        <v>46132</v>
      </c>
      <c r="AC37" s="41">
        <f t="shared" si="2"/>
        <v>46139</v>
      </c>
      <c r="AD37" s="41">
        <f t="shared" si="2"/>
        <v>46146</v>
      </c>
      <c r="AE37" s="41">
        <f t="shared" si="2"/>
        <v>46153</v>
      </c>
      <c r="AF37" s="41">
        <f t="shared" si="2"/>
        <v>46160</v>
      </c>
      <c r="AG37" s="41">
        <f t="shared" si="2"/>
        <v>46167</v>
      </c>
      <c r="AH37" s="41">
        <f t="shared" si="2"/>
        <v>46174</v>
      </c>
      <c r="AI37" s="41">
        <f t="shared" si="2"/>
        <v>46181</v>
      </c>
      <c r="AJ37" s="41">
        <f t="shared" si="2"/>
        <v>46188</v>
      </c>
      <c r="AK37" s="41">
        <f t="shared" si="2"/>
        <v>46195</v>
      </c>
      <c r="AL37" s="41">
        <f t="shared" si="2"/>
        <v>46202</v>
      </c>
      <c r="AM37" s="41">
        <f t="shared" si="2"/>
        <v>46209</v>
      </c>
      <c r="AN37" s="41">
        <f t="shared" si="2"/>
        <v>46216</v>
      </c>
      <c r="AO37" s="41">
        <f t="shared" si="2"/>
        <v>46223</v>
      </c>
      <c r="AP37" s="41">
        <f t="shared" si="2"/>
        <v>46230</v>
      </c>
      <c r="AQ37" s="41">
        <f t="shared" si="2"/>
        <v>46237</v>
      </c>
      <c r="AR37" s="41">
        <f t="shared" si="2"/>
        <v>46244</v>
      </c>
      <c r="AS37" s="41">
        <f t="shared" si="2"/>
        <v>46251</v>
      </c>
      <c r="AT37" s="41">
        <f t="shared" si="2"/>
        <v>46258</v>
      </c>
      <c r="AU37" s="41">
        <f t="shared" si="2"/>
        <v>46265</v>
      </c>
      <c r="AV37" s="41">
        <f t="shared" si="2"/>
        <v>46272</v>
      </c>
      <c r="AW37" s="41">
        <f t="shared" si="2"/>
        <v>46279</v>
      </c>
      <c r="AX37" s="41">
        <f t="shared" si="2"/>
        <v>46286</v>
      </c>
      <c r="AY37" s="41">
        <f t="shared" si="2"/>
        <v>46293</v>
      </c>
      <c r="AZ37" s="41">
        <f t="shared" si="2"/>
        <v>46300</v>
      </c>
      <c r="BA37" s="41">
        <f t="shared" si="2"/>
        <v>46307</v>
      </c>
      <c r="BB37" s="41">
        <f t="shared" si="2"/>
        <v>46314</v>
      </c>
      <c r="BC37" s="41">
        <f t="shared" si="2"/>
        <v>46321</v>
      </c>
      <c r="BD37" s="41">
        <f t="shared" si="2"/>
        <v>46328</v>
      </c>
      <c r="BE37" s="41">
        <f t="shared" si="2"/>
        <v>46335</v>
      </c>
      <c r="BF37" s="41">
        <f t="shared" si="2"/>
        <v>46342</v>
      </c>
      <c r="BG37" s="41">
        <f t="shared" si="2"/>
        <v>46349</v>
      </c>
      <c r="BH37" s="28"/>
      <c r="BI37" s="111"/>
      <c r="BJ37" s="111"/>
    </row>
    <row r="38" spans="2:62" ht="15.75" customHeight="1" thickTop="1" x14ac:dyDescent="0.25">
      <c r="B38" s="32"/>
      <c r="C38" s="117"/>
      <c r="D38" s="111"/>
      <c r="E38" s="111"/>
      <c r="F38" s="111"/>
      <c r="G38" s="33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28"/>
      <c r="BI38" s="111"/>
      <c r="BJ38" s="111"/>
    </row>
    <row r="39" spans="2:62" ht="15.75" customHeight="1" x14ac:dyDescent="0.25">
      <c r="B39" s="32"/>
      <c r="C39" s="117"/>
      <c r="D39" s="111"/>
      <c r="E39" s="111"/>
      <c r="F39" s="111"/>
      <c r="G39" s="34"/>
      <c r="H39" s="40">
        <f>IFERROR(H37+6,"")</f>
        <v>45998</v>
      </c>
      <c r="I39" s="40">
        <f>IFERROR(I37+6,"")</f>
        <v>46005</v>
      </c>
      <c r="J39" s="40">
        <f t="shared" ref="J39:BG39" si="3">IFERROR(J37+6,"")</f>
        <v>46012</v>
      </c>
      <c r="K39" s="40">
        <f t="shared" si="3"/>
        <v>46019</v>
      </c>
      <c r="L39" s="40">
        <f t="shared" si="3"/>
        <v>46026</v>
      </c>
      <c r="M39" s="40">
        <f t="shared" si="3"/>
        <v>46033</v>
      </c>
      <c r="N39" s="40">
        <f t="shared" si="3"/>
        <v>46040</v>
      </c>
      <c r="O39" s="40">
        <f t="shared" si="3"/>
        <v>46047</v>
      </c>
      <c r="P39" s="40">
        <f t="shared" si="3"/>
        <v>46054</v>
      </c>
      <c r="Q39" s="40">
        <f t="shared" si="3"/>
        <v>46061</v>
      </c>
      <c r="R39" s="40">
        <f t="shared" si="3"/>
        <v>46068</v>
      </c>
      <c r="S39" s="40">
        <f t="shared" si="3"/>
        <v>46075</v>
      </c>
      <c r="T39" s="40">
        <f t="shared" si="3"/>
        <v>46082</v>
      </c>
      <c r="U39" s="40">
        <f t="shared" si="3"/>
        <v>46089</v>
      </c>
      <c r="V39" s="40">
        <f t="shared" si="3"/>
        <v>46096</v>
      </c>
      <c r="W39" s="40">
        <f t="shared" si="3"/>
        <v>46103</v>
      </c>
      <c r="X39" s="40">
        <f t="shared" si="3"/>
        <v>46110</v>
      </c>
      <c r="Y39" s="40">
        <f t="shared" si="3"/>
        <v>46117</v>
      </c>
      <c r="Z39" s="40">
        <f t="shared" si="3"/>
        <v>46124</v>
      </c>
      <c r="AA39" s="40">
        <f t="shared" si="3"/>
        <v>46131</v>
      </c>
      <c r="AB39" s="40">
        <f t="shared" si="3"/>
        <v>46138</v>
      </c>
      <c r="AC39" s="40">
        <f t="shared" si="3"/>
        <v>46145</v>
      </c>
      <c r="AD39" s="40">
        <f t="shared" si="3"/>
        <v>46152</v>
      </c>
      <c r="AE39" s="40">
        <f t="shared" si="3"/>
        <v>46159</v>
      </c>
      <c r="AF39" s="40">
        <f t="shared" si="3"/>
        <v>46166</v>
      </c>
      <c r="AG39" s="40">
        <f t="shared" si="3"/>
        <v>46173</v>
      </c>
      <c r="AH39" s="40">
        <f t="shared" si="3"/>
        <v>46180</v>
      </c>
      <c r="AI39" s="40">
        <f t="shared" si="3"/>
        <v>46187</v>
      </c>
      <c r="AJ39" s="40">
        <f t="shared" si="3"/>
        <v>46194</v>
      </c>
      <c r="AK39" s="40">
        <f t="shared" si="3"/>
        <v>46201</v>
      </c>
      <c r="AL39" s="40">
        <f t="shared" si="3"/>
        <v>46208</v>
      </c>
      <c r="AM39" s="40">
        <f t="shared" si="3"/>
        <v>46215</v>
      </c>
      <c r="AN39" s="40">
        <f t="shared" si="3"/>
        <v>46222</v>
      </c>
      <c r="AO39" s="40">
        <f t="shared" si="3"/>
        <v>46229</v>
      </c>
      <c r="AP39" s="40">
        <f t="shared" si="3"/>
        <v>46236</v>
      </c>
      <c r="AQ39" s="40">
        <f t="shared" si="3"/>
        <v>46243</v>
      </c>
      <c r="AR39" s="40">
        <f t="shared" si="3"/>
        <v>46250</v>
      </c>
      <c r="AS39" s="40">
        <f t="shared" si="3"/>
        <v>46257</v>
      </c>
      <c r="AT39" s="40">
        <f t="shared" si="3"/>
        <v>46264</v>
      </c>
      <c r="AU39" s="40">
        <f t="shared" si="3"/>
        <v>46271</v>
      </c>
      <c r="AV39" s="40">
        <f t="shared" si="3"/>
        <v>46278</v>
      </c>
      <c r="AW39" s="40">
        <f t="shared" si="3"/>
        <v>46285</v>
      </c>
      <c r="AX39" s="40">
        <f t="shared" si="3"/>
        <v>46292</v>
      </c>
      <c r="AY39" s="40">
        <f t="shared" si="3"/>
        <v>46299</v>
      </c>
      <c r="AZ39" s="40">
        <f t="shared" si="3"/>
        <v>46306</v>
      </c>
      <c r="BA39" s="40">
        <f t="shared" si="3"/>
        <v>46313</v>
      </c>
      <c r="BB39" s="40">
        <f t="shared" si="3"/>
        <v>46320</v>
      </c>
      <c r="BC39" s="40">
        <f t="shared" si="3"/>
        <v>46327</v>
      </c>
      <c r="BD39" s="40">
        <f t="shared" si="3"/>
        <v>46334</v>
      </c>
      <c r="BE39" s="40">
        <f t="shared" si="3"/>
        <v>46341</v>
      </c>
      <c r="BF39" s="40">
        <f t="shared" si="3"/>
        <v>46348</v>
      </c>
      <c r="BG39" s="40">
        <f t="shared" si="3"/>
        <v>46355</v>
      </c>
      <c r="BH39" s="28"/>
      <c r="BJ39" s="111"/>
    </row>
    <row r="40" spans="2:62" ht="15.75" customHeight="1" x14ac:dyDescent="0.25">
      <c r="B40" s="32"/>
      <c r="C40" s="28"/>
      <c r="D40" s="43"/>
      <c r="E40" s="28"/>
      <c r="F40" s="33"/>
      <c r="G40" s="4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28"/>
      <c r="BJ40" s="111"/>
    </row>
    <row r="41" spans="2:62" ht="15.75" customHeight="1" x14ac:dyDescent="0.25">
      <c r="B41" s="32"/>
      <c r="C41" s="28"/>
      <c r="D41" s="44" t="s">
        <v>171</v>
      </c>
      <c r="E41" s="28"/>
      <c r="F41" s="45">
        <f>SUM(H41:BG41)</f>
        <v>1000</v>
      </c>
      <c r="G41" s="46"/>
      <c r="H41" s="47" t="str">
        <f>IF(SUMIFS(cf_sales[[Weekly Quant]:[Weekly Quant]], cf_sales[[1st Uplift]:[1st Uplift]], "&lt;="&amp;H39, cf_sales[[Final Uplift]:[Final Uplift]], "&gt;="&amp;H37)=0,
  "",
       SUMIFS(cf_sales[[Weekly Quant]:[Weekly Quant]], cf_sales[[1st Uplift]:[1st Uplift]], "&lt;="&amp;H39, cf_sales[[Final Uplift]:[Final Uplift]], "&gt;="&amp;H37))</f>
        <v/>
      </c>
      <c r="I41" s="47" t="str">
        <f>IF(SUMIFS(cf_sales[[Weekly Quant]:[Weekly Quant]], cf_sales[[1st Uplift]:[1st Uplift]], "&lt;="&amp;I39, cf_sales[[Final Uplift]:[Final Uplift]], "&gt;="&amp;I37)=0,
  "",
       SUMIFS(cf_sales[[Weekly Quant]:[Weekly Quant]], cf_sales[[1st Uplift]:[1st Uplift]], "&lt;="&amp;I39, cf_sales[[Final Uplift]:[Final Uplift]], "&gt;="&amp;I37))</f>
        <v/>
      </c>
      <c r="J41" s="47" t="str">
        <f>IF(SUMIFS(cf_sales[[Weekly Quant]:[Weekly Quant]], cf_sales[[1st Uplift]:[1st Uplift]], "&lt;="&amp;J39, cf_sales[[Final Uplift]:[Final Uplift]], "&gt;="&amp;J37)=0,
  "",
       SUMIFS(cf_sales[[Weekly Quant]:[Weekly Quant]], cf_sales[[1st Uplift]:[1st Uplift]], "&lt;="&amp;J39, cf_sales[[Final Uplift]:[Final Uplift]], "&gt;="&amp;J37))</f>
        <v/>
      </c>
      <c r="K41" s="47" t="str">
        <f>IF(SUMIFS(cf_sales[[Weekly Quant]:[Weekly Quant]], cf_sales[[1st Uplift]:[1st Uplift]], "&lt;="&amp;K39, cf_sales[[Final Uplift]:[Final Uplift]], "&gt;="&amp;K37)=0,
  "",
       SUMIFS(cf_sales[[Weekly Quant]:[Weekly Quant]], cf_sales[[1st Uplift]:[1st Uplift]], "&lt;="&amp;K39, cf_sales[[Final Uplift]:[Final Uplift]], "&gt;="&amp;K37))</f>
        <v/>
      </c>
      <c r="L41" s="47" t="str">
        <f>IF(SUMIFS(cf_sales[[Weekly Quant]:[Weekly Quant]], cf_sales[[1st Uplift]:[1st Uplift]], "&lt;="&amp;L39, cf_sales[[Final Uplift]:[Final Uplift]], "&gt;="&amp;L37)=0,
  "",
       SUMIFS(cf_sales[[Weekly Quant]:[Weekly Quant]], cf_sales[[1st Uplift]:[1st Uplift]], "&lt;="&amp;L39, cf_sales[[Final Uplift]:[Final Uplift]], "&gt;="&amp;L37))</f>
        <v/>
      </c>
      <c r="M41" s="47" t="str">
        <f>IF(SUMIFS(cf_sales[[Weekly Quant]:[Weekly Quant]], cf_sales[[1st Uplift]:[1st Uplift]], "&lt;="&amp;M39, cf_sales[[Final Uplift]:[Final Uplift]], "&gt;="&amp;M37)=0,
  "",
       SUMIFS(cf_sales[[Weekly Quant]:[Weekly Quant]], cf_sales[[1st Uplift]:[1st Uplift]], "&lt;="&amp;M39, cf_sales[[Final Uplift]:[Final Uplift]], "&gt;="&amp;M37))</f>
        <v/>
      </c>
      <c r="N41" s="47" t="str">
        <f>IF(SUMIFS(cf_sales[[Weekly Quant]:[Weekly Quant]], cf_sales[[1st Uplift]:[1st Uplift]], "&lt;="&amp;N39, cf_sales[[Final Uplift]:[Final Uplift]], "&gt;="&amp;N37)=0,
  "",
       SUMIFS(cf_sales[[Weekly Quant]:[Weekly Quant]], cf_sales[[1st Uplift]:[1st Uplift]], "&lt;="&amp;N39, cf_sales[[Final Uplift]:[Final Uplift]], "&gt;="&amp;N37))</f>
        <v/>
      </c>
      <c r="O41" s="47" t="str">
        <f>IF(SUMIFS(cf_sales[[Weekly Quant]:[Weekly Quant]], cf_sales[[1st Uplift]:[1st Uplift]], "&lt;="&amp;O39, cf_sales[[Final Uplift]:[Final Uplift]], "&gt;="&amp;O37)=0,
  "",
       SUMIFS(cf_sales[[Weekly Quant]:[Weekly Quant]], cf_sales[[1st Uplift]:[1st Uplift]], "&lt;="&amp;O39, cf_sales[[Final Uplift]:[Final Uplift]], "&gt;="&amp;O37))</f>
        <v/>
      </c>
      <c r="P41" s="47" t="str">
        <f>IF(SUMIFS(cf_sales[[Weekly Quant]:[Weekly Quant]], cf_sales[[1st Uplift]:[1st Uplift]], "&lt;="&amp;P39, cf_sales[[Final Uplift]:[Final Uplift]], "&gt;="&amp;P37)=0,
  "",
       SUMIFS(cf_sales[[Weekly Quant]:[Weekly Quant]], cf_sales[[1st Uplift]:[1st Uplift]], "&lt;="&amp;P39, cf_sales[[Final Uplift]:[Final Uplift]], "&gt;="&amp;P37))</f>
        <v/>
      </c>
      <c r="Q41" s="47" t="str">
        <f>IF(SUMIFS(cf_sales[[Weekly Quant]:[Weekly Quant]], cf_sales[[1st Uplift]:[1st Uplift]], "&lt;="&amp;Q39, cf_sales[[Final Uplift]:[Final Uplift]], "&gt;="&amp;Q37)=0,
  "",
       SUMIFS(cf_sales[[Weekly Quant]:[Weekly Quant]], cf_sales[[1st Uplift]:[1st Uplift]], "&lt;="&amp;Q39, cf_sales[[Final Uplift]:[Final Uplift]], "&gt;="&amp;Q37))</f>
        <v/>
      </c>
      <c r="R41" s="47" t="str">
        <f>IF(SUMIFS(cf_sales[[Weekly Quant]:[Weekly Quant]], cf_sales[[1st Uplift]:[1st Uplift]], "&lt;="&amp;R39, cf_sales[[Final Uplift]:[Final Uplift]], "&gt;="&amp;R37)=0,
  "",
       SUMIFS(cf_sales[[Weekly Quant]:[Weekly Quant]], cf_sales[[1st Uplift]:[1st Uplift]], "&lt;="&amp;R39, cf_sales[[Final Uplift]:[Final Uplift]], "&gt;="&amp;R37))</f>
        <v/>
      </c>
      <c r="S41" s="47" t="str">
        <f>IF(SUMIFS(cf_sales[[Weekly Quant]:[Weekly Quant]], cf_sales[[1st Uplift]:[1st Uplift]], "&lt;="&amp;S39, cf_sales[[Final Uplift]:[Final Uplift]], "&gt;="&amp;S37)=0,
  "",
       SUMIFS(cf_sales[[Weekly Quant]:[Weekly Quant]], cf_sales[[1st Uplift]:[1st Uplift]], "&lt;="&amp;S39, cf_sales[[Final Uplift]:[Final Uplift]], "&gt;="&amp;S37))</f>
        <v/>
      </c>
      <c r="T41" s="47">
        <f>IF(SUMIFS(cf_sales[[Weekly Quant]:[Weekly Quant]], cf_sales[[1st Uplift]:[1st Uplift]], "&lt;="&amp;T39, cf_sales[[Final Uplift]:[Final Uplift]], "&gt;="&amp;T37)=0,
  "",
       SUMIFS(cf_sales[[Weekly Quant]:[Weekly Quant]], cf_sales[[1st Uplift]:[1st Uplift]], "&lt;="&amp;T39, cf_sales[[Final Uplift]:[Final Uplift]], "&gt;="&amp;T37))</f>
        <v>250</v>
      </c>
      <c r="U41" s="47">
        <f>IF(SUMIFS(cf_sales[[Weekly Quant]:[Weekly Quant]], cf_sales[[1st Uplift]:[1st Uplift]], "&lt;="&amp;U39, cf_sales[[Final Uplift]:[Final Uplift]], "&gt;="&amp;U37)=0,
  "",
       SUMIFS(cf_sales[[Weekly Quant]:[Weekly Quant]], cf_sales[[1st Uplift]:[1st Uplift]], "&lt;="&amp;U39, cf_sales[[Final Uplift]:[Final Uplift]], "&gt;="&amp;U37))</f>
        <v>250</v>
      </c>
      <c r="V41" s="47">
        <f>IF(SUMIFS(cf_sales[[Weekly Quant]:[Weekly Quant]], cf_sales[[1st Uplift]:[1st Uplift]], "&lt;="&amp;V39, cf_sales[[Final Uplift]:[Final Uplift]], "&gt;="&amp;V37)=0,
  "",
       SUMIFS(cf_sales[[Weekly Quant]:[Weekly Quant]], cf_sales[[1st Uplift]:[1st Uplift]], "&lt;="&amp;V39, cf_sales[[Final Uplift]:[Final Uplift]], "&gt;="&amp;V37))</f>
        <v>250</v>
      </c>
      <c r="W41" s="47">
        <f>IF(SUMIFS(cf_sales[[Weekly Quant]:[Weekly Quant]], cf_sales[[1st Uplift]:[1st Uplift]], "&lt;="&amp;W39, cf_sales[[Final Uplift]:[Final Uplift]], "&gt;="&amp;W37)=0,
  "",
       SUMIFS(cf_sales[[Weekly Quant]:[Weekly Quant]], cf_sales[[1st Uplift]:[1st Uplift]], "&lt;="&amp;W39, cf_sales[[Final Uplift]:[Final Uplift]], "&gt;="&amp;W37))</f>
        <v>250</v>
      </c>
      <c r="X41" s="47" t="str">
        <f>IF(SUMIFS(cf_sales[[Weekly Quant]:[Weekly Quant]], cf_sales[[1st Uplift]:[1st Uplift]], "&lt;="&amp;X39, cf_sales[[Final Uplift]:[Final Uplift]], "&gt;="&amp;X37)=0,
  "",
       SUMIFS(cf_sales[[Weekly Quant]:[Weekly Quant]], cf_sales[[1st Uplift]:[1st Uplift]], "&lt;="&amp;X39, cf_sales[[Final Uplift]:[Final Uplift]], "&gt;="&amp;X37))</f>
        <v/>
      </c>
      <c r="Y41" s="47" t="str">
        <f>IF(SUMIFS(cf_sales[[Weekly Quant]:[Weekly Quant]], cf_sales[[1st Uplift]:[1st Uplift]], "&lt;="&amp;Y39, cf_sales[[Final Uplift]:[Final Uplift]], "&gt;="&amp;Y37)=0,
  "",
       SUMIFS(cf_sales[[Weekly Quant]:[Weekly Quant]], cf_sales[[1st Uplift]:[1st Uplift]], "&lt;="&amp;Y39, cf_sales[[Final Uplift]:[Final Uplift]], "&gt;="&amp;Y37))</f>
        <v/>
      </c>
      <c r="Z41" s="47" t="str">
        <f>IF(SUMIFS(cf_sales[[Weekly Quant]:[Weekly Quant]], cf_sales[[1st Uplift]:[1st Uplift]], "&lt;="&amp;Z39, cf_sales[[Final Uplift]:[Final Uplift]], "&gt;="&amp;Z37)=0,
  "",
       SUMIFS(cf_sales[[Weekly Quant]:[Weekly Quant]], cf_sales[[1st Uplift]:[1st Uplift]], "&lt;="&amp;Z39, cf_sales[[Final Uplift]:[Final Uplift]], "&gt;="&amp;Z37))</f>
        <v/>
      </c>
      <c r="AA41" s="47" t="str">
        <f>IF(SUMIFS(cf_sales[[Weekly Quant]:[Weekly Quant]], cf_sales[[1st Uplift]:[1st Uplift]], "&lt;="&amp;AA39, cf_sales[[Final Uplift]:[Final Uplift]], "&gt;="&amp;AA37)=0,
  "",
       SUMIFS(cf_sales[[Weekly Quant]:[Weekly Quant]], cf_sales[[1st Uplift]:[1st Uplift]], "&lt;="&amp;AA39, cf_sales[[Final Uplift]:[Final Uplift]], "&gt;="&amp;AA37))</f>
        <v/>
      </c>
      <c r="AB41" s="47" t="str">
        <f>IF(SUMIFS(cf_sales[[Weekly Quant]:[Weekly Quant]], cf_sales[[1st Uplift]:[1st Uplift]], "&lt;="&amp;AB39, cf_sales[[Final Uplift]:[Final Uplift]], "&gt;="&amp;AB37)=0,
  "",
       SUMIFS(cf_sales[[Weekly Quant]:[Weekly Quant]], cf_sales[[1st Uplift]:[1st Uplift]], "&lt;="&amp;AB39, cf_sales[[Final Uplift]:[Final Uplift]], "&gt;="&amp;AB37))</f>
        <v/>
      </c>
      <c r="AC41" s="47" t="str">
        <f>IF(SUMIFS(cf_sales[[Weekly Quant]:[Weekly Quant]], cf_sales[[1st Uplift]:[1st Uplift]], "&lt;="&amp;AC39, cf_sales[[Final Uplift]:[Final Uplift]], "&gt;="&amp;AC37)=0,
  "",
       SUMIFS(cf_sales[[Weekly Quant]:[Weekly Quant]], cf_sales[[1st Uplift]:[1st Uplift]], "&lt;="&amp;AC39, cf_sales[[Final Uplift]:[Final Uplift]], "&gt;="&amp;AC37))</f>
        <v/>
      </c>
      <c r="AD41" s="47" t="str">
        <f>IF(SUMIFS(cf_sales[[Weekly Quant]:[Weekly Quant]], cf_sales[[1st Uplift]:[1st Uplift]], "&lt;="&amp;AD39, cf_sales[[Final Uplift]:[Final Uplift]], "&gt;="&amp;AD37)=0,
  "",
       SUMIFS(cf_sales[[Weekly Quant]:[Weekly Quant]], cf_sales[[1st Uplift]:[1st Uplift]], "&lt;="&amp;AD39, cf_sales[[Final Uplift]:[Final Uplift]], "&gt;="&amp;AD37))</f>
        <v/>
      </c>
      <c r="AE41" s="47" t="str">
        <f>IF(SUMIFS(cf_sales[[Weekly Quant]:[Weekly Quant]], cf_sales[[1st Uplift]:[1st Uplift]], "&lt;="&amp;AE39, cf_sales[[Final Uplift]:[Final Uplift]], "&gt;="&amp;AE37)=0,
  "",
       SUMIFS(cf_sales[[Weekly Quant]:[Weekly Quant]], cf_sales[[1st Uplift]:[1st Uplift]], "&lt;="&amp;AE39, cf_sales[[Final Uplift]:[Final Uplift]], "&gt;="&amp;AE37))</f>
        <v/>
      </c>
      <c r="AF41" s="47" t="str">
        <f>IF(SUMIFS(cf_sales[[Weekly Quant]:[Weekly Quant]], cf_sales[[1st Uplift]:[1st Uplift]], "&lt;="&amp;AF39, cf_sales[[Final Uplift]:[Final Uplift]], "&gt;="&amp;AF37)=0,
  "",
       SUMIFS(cf_sales[[Weekly Quant]:[Weekly Quant]], cf_sales[[1st Uplift]:[1st Uplift]], "&lt;="&amp;AF39, cf_sales[[Final Uplift]:[Final Uplift]], "&gt;="&amp;AF37))</f>
        <v/>
      </c>
      <c r="AG41" s="47" t="str">
        <f>IF(SUMIFS(cf_sales[[Weekly Quant]:[Weekly Quant]], cf_sales[[1st Uplift]:[1st Uplift]], "&lt;="&amp;AG39, cf_sales[[Final Uplift]:[Final Uplift]], "&gt;="&amp;AG37)=0,
  "",
       SUMIFS(cf_sales[[Weekly Quant]:[Weekly Quant]], cf_sales[[1st Uplift]:[1st Uplift]], "&lt;="&amp;AG39, cf_sales[[Final Uplift]:[Final Uplift]], "&gt;="&amp;AG37))</f>
        <v/>
      </c>
      <c r="AH41" s="47" t="str">
        <f>IF(SUMIFS(cf_sales[[Weekly Quant]:[Weekly Quant]], cf_sales[[1st Uplift]:[1st Uplift]], "&lt;="&amp;AH39, cf_sales[[Final Uplift]:[Final Uplift]], "&gt;="&amp;AH37)=0,
  "",
       SUMIFS(cf_sales[[Weekly Quant]:[Weekly Quant]], cf_sales[[1st Uplift]:[1st Uplift]], "&lt;="&amp;AH39, cf_sales[[Final Uplift]:[Final Uplift]], "&gt;="&amp;AH37))</f>
        <v/>
      </c>
      <c r="AI41" s="47" t="str">
        <f>IF(SUMIFS(cf_sales[[Weekly Quant]:[Weekly Quant]], cf_sales[[1st Uplift]:[1st Uplift]], "&lt;="&amp;AI39, cf_sales[[Final Uplift]:[Final Uplift]], "&gt;="&amp;AI37)=0,
  "",
       SUMIFS(cf_sales[[Weekly Quant]:[Weekly Quant]], cf_sales[[1st Uplift]:[1st Uplift]], "&lt;="&amp;AI39, cf_sales[[Final Uplift]:[Final Uplift]], "&gt;="&amp;AI37))</f>
        <v/>
      </c>
      <c r="AJ41" s="47" t="str">
        <f>IF(SUMIFS(cf_sales[[Weekly Quant]:[Weekly Quant]], cf_sales[[1st Uplift]:[1st Uplift]], "&lt;="&amp;AJ39, cf_sales[[Final Uplift]:[Final Uplift]], "&gt;="&amp;AJ37)=0,
  "",
       SUMIFS(cf_sales[[Weekly Quant]:[Weekly Quant]], cf_sales[[1st Uplift]:[1st Uplift]], "&lt;="&amp;AJ39, cf_sales[[Final Uplift]:[Final Uplift]], "&gt;="&amp;AJ37))</f>
        <v/>
      </c>
      <c r="AK41" s="47" t="str">
        <f>IF(SUMIFS(cf_sales[[Weekly Quant]:[Weekly Quant]], cf_sales[[1st Uplift]:[1st Uplift]], "&lt;="&amp;AK39, cf_sales[[Final Uplift]:[Final Uplift]], "&gt;="&amp;AK37)=0,
  "",
       SUMIFS(cf_sales[[Weekly Quant]:[Weekly Quant]], cf_sales[[1st Uplift]:[1st Uplift]], "&lt;="&amp;AK39, cf_sales[[Final Uplift]:[Final Uplift]], "&gt;="&amp;AK37))</f>
        <v/>
      </c>
      <c r="AL41" s="47" t="str">
        <f>IF(SUMIFS(cf_sales[[Weekly Quant]:[Weekly Quant]], cf_sales[[1st Uplift]:[1st Uplift]], "&lt;="&amp;AL39, cf_sales[[Final Uplift]:[Final Uplift]], "&gt;="&amp;AL37)=0,
  "",
       SUMIFS(cf_sales[[Weekly Quant]:[Weekly Quant]], cf_sales[[1st Uplift]:[1st Uplift]], "&lt;="&amp;AL39, cf_sales[[Final Uplift]:[Final Uplift]], "&gt;="&amp;AL37))</f>
        <v/>
      </c>
      <c r="AM41" s="47" t="str">
        <f>IF(SUMIFS(cf_sales[[Weekly Quant]:[Weekly Quant]], cf_sales[[1st Uplift]:[1st Uplift]], "&lt;="&amp;AM39, cf_sales[[Final Uplift]:[Final Uplift]], "&gt;="&amp;AM37)=0,
  "",
       SUMIFS(cf_sales[[Weekly Quant]:[Weekly Quant]], cf_sales[[1st Uplift]:[1st Uplift]], "&lt;="&amp;AM39, cf_sales[[Final Uplift]:[Final Uplift]], "&gt;="&amp;AM37))</f>
        <v/>
      </c>
      <c r="AN41" s="47" t="str">
        <f>IF(SUMIFS(cf_sales[[Weekly Quant]:[Weekly Quant]], cf_sales[[1st Uplift]:[1st Uplift]], "&lt;="&amp;AN39, cf_sales[[Final Uplift]:[Final Uplift]], "&gt;="&amp;AN37)=0,
  "",
       SUMIFS(cf_sales[[Weekly Quant]:[Weekly Quant]], cf_sales[[1st Uplift]:[1st Uplift]], "&lt;="&amp;AN39, cf_sales[[Final Uplift]:[Final Uplift]], "&gt;="&amp;AN37))</f>
        <v/>
      </c>
      <c r="AO41" s="47" t="str">
        <f>IF(SUMIFS(cf_sales[[Weekly Quant]:[Weekly Quant]], cf_sales[[1st Uplift]:[1st Uplift]], "&lt;="&amp;AO39, cf_sales[[Final Uplift]:[Final Uplift]], "&gt;="&amp;AO37)=0,
  "",
       SUMIFS(cf_sales[[Weekly Quant]:[Weekly Quant]], cf_sales[[1st Uplift]:[1st Uplift]], "&lt;="&amp;AO39, cf_sales[[Final Uplift]:[Final Uplift]], "&gt;="&amp;AO37))</f>
        <v/>
      </c>
      <c r="AP41" s="47" t="str">
        <f>IF(SUMIFS(cf_sales[[Weekly Quant]:[Weekly Quant]], cf_sales[[1st Uplift]:[1st Uplift]], "&lt;="&amp;AP39, cf_sales[[Final Uplift]:[Final Uplift]], "&gt;="&amp;AP37)=0,
  "",
       SUMIFS(cf_sales[[Weekly Quant]:[Weekly Quant]], cf_sales[[1st Uplift]:[1st Uplift]], "&lt;="&amp;AP39, cf_sales[[Final Uplift]:[Final Uplift]], "&gt;="&amp;AP37))</f>
        <v/>
      </c>
      <c r="AQ41" s="47" t="str">
        <f>IF(SUMIFS(cf_sales[[Weekly Quant]:[Weekly Quant]], cf_sales[[1st Uplift]:[1st Uplift]], "&lt;="&amp;AQ39, cf_sales[[Final Uplift]:[Final Uplift]], "&gt;="&amp;AQ37)=0,
  "",
       SUMIFS(cf_sales[[Weekly Quant]:[Weekly Quant]], cf_sales[[1st Uplift]:[1st Uplift]], "&lt;="&amp;AQ39, cf_sales[[Final Uplift]:[Final Uplift]], "&gt;="&amp;AQ37))</f>
        <v/>
      </c>
      <c r="AR41" s="47" t="str">
        <f>IF(SUMIFS(cf_sales[[Weekly Quant]:[Weekly Quant]], cf_sales[[1st Uplift]:[1st Uplift]], "&lt;="&amp;AR39, cf_sales[[Final Uplift]:[Final Uplift]], "&gt;="&amp;AR37)=0,
  "",
       SUMIFS(cf_sales[[Weekly Quant]:[Weekly Quant]], cf_sales[[1st Uplift]:[1st Uplift]], "&lt;="&amp;AR39, cf_sales[[Final Uplift]:[Final Uplift]], "&gt;="&amp;AR37))</f>
        <v/>
      </c>
      <c r="AS41" s="47" t="str">
        <f>IF(SUMIFS(cf_sales[[Weekly Quant]:[Weekly Quant]], cf_sales[[1st Uplift]:[1st Uplift]], "&lt;="&amp;AS39, cf_sales[[Final Uplift]:[Final Uplift]], "&gt;="&amp;AS37)=0,
  "",
       SUMIFS(cf_sales[[Weekly Quant]:[Weekly Quant]], cf_sales[[1st Uplift]:[1st Uplift]], "&lt;="&amp;AS39, cf_sales[[Final Uplift]:[Final Uplift]], "&gt;="&amp;AS37))</f>
        <v/>
      </c>
      <c r="AT41" s="47" t="str">
        <f>IF(SUMIFS(cf_sales[[Weekly Quant]:[Weekly Quant]], cf_sales[[1st Uplift]:[1st Uplift]], "&lt;="&amp;AT39, cf_sales[[Final Uplift]:[Final Uplift]], "&gt;="&amp;AT37)=0,
  "",
       SUMIFS(cf_sales[[Weekly Quant]:[Weekly Quant]], cf_sales[[1st Uplift]:[1st Uplift]], "&lt;="&amp;AT39, cf_sales[[Final Uplift]:[Final Uplift]], "&gt;="&amp;AT37))</f>
        <v/>
      </c>
      <c r="AU41" s="47" t="str">
        <f>IF(SUMIFS(cf_sales[[Weekly Quant]:[Weekly Quant]], cf_sales[[1st Uplift]:[1st Uplift]], "&lt;="&amp;AU39, cf_sales[[Final Uplift]:[Final Uplift]], "&gt;="&amp;AU37)=0,
  "",
       SUMIFS(cf_sales[[Weekly Quant]:[Weekly Quant]], cf_sales[[1st Uplift]:[1st Uplift]], "&lt;="&amp;AU39, cf_sales[[Final Uplift]:[Final Uplift]], "&gt;="&amp;AU37))</f>
        <v/>
      </c>
      <c r="AV41" s="47" t="str">
        <f>IF(SUMIFS(cf_sales[[Weekly Quant]:[Weekly Quant]], cf_sales[[1st Uplift]:[1st Uplift]], "&lt;="&amp;AV39, cf_sales[[Final Uplift]:[Final Uplift]], "&gt;="&amp;AV37)=0,
  "",
       SUMIFS(cf_sales[[Weekly Quant]:[Weekly Quant]], cf_sales[[1st Uplift]:[1st Uplift]], "&lt;="&amp;AV39, cf_sales[[Final Uplift]:[Final Uplift]], "&gt;="&amp;AV37))</f>
        <v/>
      </c>
      <c r="AW41" s="47" t="str">
        <f>IF(SUMIFS(cf_sales[[Weekly Quant]:[Weekly Quant]], cf_sales[[1st Uplift]:[1st Uplift]], "&lt;="&amp;AW39, cf_sales[[Final Uplift]:[Final Uplift]], "&gt;="&amp;AW37)=0,
  "",
       SUMIFS(cf_sales[[Weekly Quant]:[Weekly Quant]], cf_sales[[1st Uplift]:[1st Uplift]], "&lt;="&amp;AW39, cf_sales[[Final Uplift]:[Final Uplift]], "&gt;="&amp;AW37))</f>
        <v/>
      </c>
      <c r="AX41" s="47" t="str">
        <f>IF(SUMIFS(cf_sales[[Weekly Quant]:[Weekly Quant]], cf_sales[[1st Uplift]:[1st Uplift]], "&lt;="&amp;AX39, cf_sales[[Final Uplift]:[Final Uplift]], "&gt;="&amp;AX37)=0,
  "",
       SUMIFS(cf_sales[[Weekly Quant]:[Weekly Quant]], cf_sales[[1st Uplift]:[1st Uplift]], "&lt;="&amp;AX39, cf_sales[[Final Uplift]:[Final Uplift]], "&gt;="&amp;AX37))</f>
        <v/>
      </c>
      <c r="AY41" s="47" t="str">
        <f>IF(SUMIFS(cf_sales[[Weekly Quant]:[Weekly Quant]], cf_sales[[1st Uplift]:[1st Uplift]], "&lt;="&amp;AY39, cf_sales[[Final Uplift]:[Final Uplift]], "&gt;="&amp;AY37)=0,
  "",
       SUMIFS(cf_sales[[Weekly Quant]:[Weekly Quant]], cf_sales[[1st Uplift]:[1st Uplift]], "&lt;="&amp;AY39, cf_sales[[Final Uplift]:[Final Uplift]], "&gt;="&amp;AY37))</f>
        <v/>
      </c>
      <c r="AZ41" s="47" t="str">
        <f>IF(SUMIFS(cf_sales[[Weekly Quant]:[Weekly Quant]], cf_sales[[1st Uplift]:[1st Uplift]], "&lt;="&amp;AZ39, cf_sales[[Final Uplift]:[Final Uplift]], "&gt;="&amp;AZ37)=0,
  "",
       SUMIFS(cf_sales[[Weekly Quant]:[Weekly Quant]], cf_sales[[1st Uplift]:[1st Uplift]], "&lt;="&amp;AZ39, cf_sales[[Final Uplift]:[Final Uplift]], "&gt;="&amp;AZ37))</f>
        <v/>
      </c>
      <c r="BA41" s="47" t="str">
        <f>IF(SUMIFS(cf_sales[[Weekly Quant]:[Weekly Quant]], cf_sales[[1st Uplift]:[1st Uplift]], "&lt;="&amp;BA39, cf_sales[[Final Uplift]:[Final Uplift]], "&gt;="&amp;BA37)=0,
  "",
       SUMIFS(cf_sales[[Weekly Quant]:[Weekly Quant]], cf_sales[[1st Uplift]:[1st Uplift]], "&lt;="&amp;BA39, cf_sales[[Final Uplift]:[Final Uplift]], "&gt;="&amp;BA37))</f>
        <v/>
      </c>
      <c r="BB41" s="47" t="str">
        <f>IF(SUMIFS(cf_sales[[Weekly Quant]:[Weekly Quant]], cf_sales[[1st Uplift]:[1st Uplift]], "&lt;="&amp;BB39, cf_sales[[Final Uplift]:[Final Uplift]], "&gt;="&amp;BB37)=0,
  "",
       SUMIFS(cf_sales[[Weekly Quant]:[Weekly Quant]], cf_sales[[1st Uplift]:[1st Uplift]], "&lt;="&amp;BB39, cf_sales[[Final Uplift]:[Final Uplift]], "&gt;="&amp;BB37))</f>
        <v/>
      </c>
      <c r="BC41" s="47" t="str">
        <f>IF(SUMIFS(cf_sales[[Weekly Quant]:[Weekly Quant]], cf_sales[[1st Uplift]:[1st Uplift]], "&lt;="&amp;BC39, cf_sales[[Final Uplift]:[Final Uplift]], "&gt;="&amp;BC37)=0,
  "",
       SUMIFS(cf_sales[[Weekly Quant]:[Weekly Quant]], cf_sales[[1st Uplift]:[1st Uplift]], "&lt;="&amp;BC39, cf_sales[[Final Uplift]:[Final Uplift]], "&gt;="&amp;BC37))</f>
        <v/>
      </c>
      <c r="BD41" s="47" t="str">
        <f>IF(SUMIFS(cf_sales[[Weekly Quant]:[Weekly Quant]], cf_sales[[1st Uplift]:[1st Uplift]], "&lt;="&amp;BD39, cf_sales[[Final Uplift]:[Final Uplift]], "&gt;="&amp;BD37)=0,
  "",
       SUMIFS(cf_sales[[Weekly Quant]:[Weekly Quant]], cf_sales[[1st Uplift]:[1st Uplift]], "&lt;="&amp;BD39, cf_sales[[Final Uplift]:[Final Uplift]], "&gt;="&amp;BD37))</f>
        <v/>
      </c>
      <c r="BE41" s="47" t="str">
        <f>IF(SUMIFS(cf_sales[[Weekly Quant]:[Weekly Quant]], cf_sales[[1st Uplift]:[1st Uplift]], "&lt;="&amp;BE39, cf_sales[[Final Uplift]:[Final Uplift]], "&gt;="&amp;BE37)=0,
  "",
       SUMIFS(cf_sales[[Weekly Quant]:[Weekly Quant]], cf_sales[[1st Uplift]:[1st Uplift]], "&lt;="&amp;BE39, cf_sales[[Final Uplift]:[Final Uplift]], "&gt;="&amp;BE37))</f>
        <v/>
      </c>
      <c r="BF41" s="47" t="str">
        <f>IF(SUMIFS(cf_sales[[Weekly Quant]:[Weekly Quant]], cf_sales[[1st Uplift]:[1st Uplift]], "&lt;="&amp;BF39, cf_sales[[Final Uplift]:[Final Uplift]], "&gt;="&amp;BF37)=0,
  "",
       SUMIFS(cf_sales[[Weekly Quant]:[Weekly Quant]], cf_sales[[1st Uplift]:[1st Uplift]], "&lt;="&amp;BF39, cf_sales[[Final Uplift]:[Final Uplift]], "&gt;="&amp;BF37))</f>
        <v/>
      </c>
      <c r="BG41" s="47" t="str">
        <f>IF(SUMIFS(cf_sales[[Weekly Quant]:[Weekly Quant]], cf_sales[[1st Uplift]:[1st Uplift]], "&lt;="&amp;BG39, cf_sales[[Final Uplift]:[Final Uplift]], "&gt;="&amp;BG37)=0,
  "",
       SUMIFS(cf_sales[[Weekly Quant]:[Weekly Quant]], cf_sales[[1st Uplift]:[1st Uplift]], "&lt;="&amp;BG39, cf_sales[[Final Uplift]:[Final Uplift]], "&gt;="&amp;BG37))</f>
        <v/>
      </c>
      <c r="BH41" s="28"/>
      <c r="BJ41" s="111"/>
    </row>
    <row r="42" spans="2:62" ht="15.75" customHeight="1" x14ac:dyDescent="0.25">
      <c r="B42" s="32"/>
      <c r="C42" s="28"/>
      <c r="D42" s="43"/>
      <c r="E42" s="28"/>
      <c r="F42" s="33"/>
      <c r="G42" s="4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28"/>
      <c r="BJ42" s="111"/>
    </row>
    <row r="43" spans="2:62" ht="15.75" customHeight="1" x14ac:dyDescent="0.25">
      <c r="B43" s="32"/>
      <c r="C43" s="28"/>
      <c r="D43" s="44" t="s">
        <v>172</v>
      </c>
      <c r="E43" s="28"/>
      <c r="F43" s="45">
        <f>SUM(H43:BG43)</f>
        <v>1000</v>
      </c>
      <c r="G43" s="46"/>
      <c r="H43" s="47" t="str">
        <f>IF(SUMIFS(cf_sales[[Weekly Quant]:[Weekly Quant]], cf_sales[[1st Delivery]:[1st Delivery]], "&lt;="&amp;H39, cf_sales[[Final Delivery]:[Final Delivery]], "&gt;="&amp;H37)=0,
       "",
       SUMIFS(cf_sales[[Weekly Quant]:[Weekly Quant]], cf_sales[[1st Delivery]:[1st Delivery]], "&lt;="&amp;H39, cf_sales[[Final Delivery]:[Final Delivery]], "&gt;="&amp;H37))</f>
        <v/>
      </c>
      <c r="I43" s="47" t="str">
        <f>IF(SUMIFS(cf_sales[[Weekly Quant]:[Weekly Quant]], cf_sales[[1st Delivery]:[1st Delivery]], "&lt;="&amp;I39, cf_sales[[Final Delivery]:[Final Delivery]], "&gt;="&amp;I37)=0,
       "",
       SUMIFS(cf_sales[[Weekly Quant]:[Weekly Quant]], cf_sales[[1st Delivery]:[1st Delivery]], "&lt;="&amp;I39, cf_sales[[Final Delivery]:[Final Delivery]], "&gt;="&amp;I37))</f>
        <v/>
      </c>
      <c r="J43" s="47" t="str">
        <f>IF(SUMIFS(cf_sales[[Weekly Quant]:[Weekly Quant]], cf_sales[[1st Delivery]:[1st Delivery]], "&lt;="&amp;J39, cf_sales[[Final Delivery]:[Final Delivery]], "&gt;="&amp;J37)=0,
       "",
       SUMIFS(cf_sales[[Weekly Quant]:[Weekly Quant]], cf_sales[[1st Delivery]:[1st Delivery]], "&lt;="&amp;J39, cf_sales[[Final Delivery]:[Final Delivery]], "&gt;="&amp;J37))</f>
        <v/>
      </c>
      <c r="K43" s="47" t="str">
        <f>IF(SUMIFS(cf_sales[[Weekly Quant]:[Weekly Quant]], cf_sales[[1st Delivery]:[1st Delivery]], "&lt;="&amp;K39, cf_sales[[Final Delivery]:[Final Delivery]], "&gt;="&amp;K37)=0,
       "",
       SUMIFS(cf_sales[[Weekly Quant]:[Weekly Quant]], cf_sales[[1st Delivery]:[1st Delivery]], "&lt;="&amp;K39, cf_sales[[Final Delivery]:[Final Delivery]], "&gt;="&amp;K37))</f>
        <v/>
      </c>
      <c r="L43" s="47" t="str">
        <f>IF(SUMIFS(cf_sales[[Weekly Quant]:[Weekly Quant]], cf_sales[[1st Delivery]:[1st Delivery]], "&lt;="&amp;L39, cf_sales[[Final Delivery]:[Final Delivery]], "&gt;="&amp;L37)=0,
       "",
       SUMIFS(cf_sales[[Weekly Quant]:[Weekly Quant]], cf_sales[[1st Delivery]:[1st Delivery]], "&lt;="&amp;L39, cf_sales[[Final Delivery]:[Final Delivery]], "&gt;="&amp;L37))</f>
        <v/>
      </c>
      <c r="M43" s="47" t="str">
        <f>IF(SUMIFS(cf_sales[[Weekly Quant]:[Weekly Quant]], cf_sales[[1st Delivery]:[1st Delivery]], "&lt;="&amp;M39, cf_sales[[Final Delivery]:[Final Delivery]], "&gt;="&amp;M37)=0,
       "",
       SUMIFS(cf_sales[[Weekly Quant]:[Weekly Quant]], cf_sales[[1st Delivery]:[1st Delivery]], "&lt;="&amp;M39, cf_sales[[Final Delivery]:[Final Delivery]], "&gt;="&amp;M37))</f>
        <v/>
      </c>
      <c r="N43" s="47" t="str">
        <f>IF(SUMIFS(cf_sales[[Weekly Quant]:[Weekly Quant]], cf_sales[[1st Delivery]:[1st Delivery]], "&lt;="&amp;N39, cf_sales[[Final Delivery]:[Final Delivery]], "&gt;="&amp;N37)=0,
       "",
       SUMIFS(cf_sales[[Weekly Quant]:[Weekly Quant]], cf_sales[[1st Delivery]:[1st Delivery]], "&lt;="&amp;N39, cf_sales[[Final Delivery]:[Final Delivery]], "&gt;="&amp;N37))</f>
        <v/>
      </c>
      <c r="O43" s="47" t="str">
        <f>IF(SUMIFS(cf_sales[[Weekly Quant]:[Weekly Quant]], cf_sales[[1st Delivery]:[1st Delivery]], "&lt;="&amp;O39, cf_sales[[Final Delivery]:[Final Delivery]], "&gt;="&amp;O37)=0,
       "",
       SUMIFS(cf_sales[[Weekly Quant]:[Weekly Quant]], cf_sales[[1st Delivery]:[1st Delivery]], "&lt;="&amp;O39, cf_sales[[Final Delivery]:[Final Delivery]], "&gt;="&amp;O37))</f>
        <v/>
      </c>
      <c r="P43" s="47" t="str">
        <f>IF(SUMIFS(cf_sales[[Weekly Quant]:[Weekly Quant]], cf_sales[[1st Delivery]:[1st Delivery]], "&lt;="&amp;P39, cf_sales[[Final Delivery]:[Final Delivery]], "&gt;="&amp;P37)=0,
       "",
       SUMIFS(cf_sales[[Weekly Quant]:[Weekly Quant]], cf_sales[[1st Delivery]:[1st Delivery]], "&lt;="&amp;P39, cf_sales[[Final Delivery]:[Final Delivery]], "&gt;="&amp;P37))</f>
        <v/>
      </c>
      <c r="Q43" s="47" t="str">
        <f>IF(SUMIFS(cf_sales[[Weekly Quant]:[Weekly Quant]], cf_sales[[1st Delivery]:[1st Delivery]], "&lt;="&amp;Q39, cf_sales[[Final Delivery]:[Final Delivery]], "&gt;="&amp;Q37)=0,
       "",
       SUMIFS(cf_sales[[Weekly Quant]:[Weekly Quant]], cf_sales[[1st Delivery]:[1st Delivery]], "&lt;="&amp;Q39, cf_sales[[Final Delivery]:[Final Delivery]], "&gt;="&amp;Q37))</f>
        <v/>
      </c>
      <c r="R43" s="47" t="str">
        <f>IF(SUMIFS(cf_sales[[Weekly Quant]:[Weekly Quant]], cf_sales[[1st Delivery]:[1st Delivery]], "&lt;="&amp;R39, cf_sales[[Final Delivery]:[Final Delivery]], "&gt;="&amp;R37)=0,
       "",
       SUMIFS(cf_sales[[Weekly Quant]:[Weekly Quant]], cf_sales[[1st Delivery]:[1st Delivery]], "&lt;="&amp;R39, cf_sales[[Final Delivery]:[Final Delivery]], "&gt;="&amp;R37))</f>
        <v/>
      </c>
      <c r="S43" s="47" t="str">
        <f>IF(SUMIFS(cf_sales[[Weekly Quant]:[Weekly Quant]], cf_sales[[1st Delivery]:[1st Delivery]], "&lt;="&amp;S39, cf_sales[[Final Delivery]:[Final Delivery]], "&gt;="&amp;S37)=0,
       "",
       SUMIFS(cf_sales[[Weekly Quant]:[Weekly Quant]], cf_sales[[1st Delivery]:[1st Delivery]], "&lt;="&amp;S39, cf_sales[[Final Delivery]:[Final Delivery]], "&gt;="&amp;S37))</f>
        <v/>
      </c>
      <c r="T43" s="47" t="str">
        <f>IF(SUMIFS(cf_sales[[Weekly Quant]:[Weekly Quant]], cf_sales[[1st Delivery]:[1st Delivery]], "&lt;="&amp;T39, cf_sales[[Final Delivery]:[Final Delivery]], "&gt;="&amp;T37)=0,
       "",
       SUMIFS(cf_sales[[Weekly Quant]:[Weekly Quant]], cf_sales[[1st Delivery]:[1st Delivery]], "&lt;="&amp;T39, cf_sales[[Final Delivery]:[Final Delivery]], "&gt;="&amp;T37))</f>
        <v/>
      </c>
      <c r="U43" s="47" t="str">
        <f>IF(SUMIFS(cf_sales[[Weekly Quant]:[Weekly Quant]], cf_sales[[1st Delivery]:[1st Delivery]], "&lt;="&amp;U39, cf_sales[[Final Delivery]:[Final Delivery]], "&gt;="&amp;U37)=0,
       "",
       SUMIFS(cf_sales[[Weekly Quant]:[Weekly Quant]], cf_sales[[1st Delivery]:[1st Delivery]], "&lt;="&amp;U39, cf_sales[[Final Delivery]:[Final Delivery]], "&gt;="&amp;U37))</f>
        <v/>
      </c>
      <c r="V43" s="47">
        <f>IF(SUMIFS(cf_sales[[Weekly Quant]:[Weekly Quant]], cf_sales[[1st Delivery]:[1st Delivery]], "&lt;="&amp;V39, cf_sales[[Final Delivery]:[Final Delivery]], "&gt;="&amp;V37)=0,
       "",
       SUMIFS(cf_sales[[Weekly Quant]:[Weekly Quant]], cf_sales[[1st Delivery]:[1st Delivery]], "&lt;="&amp;V39, cf_sales[[Final Delivery]:[Final Delivery]], "&gt;="&amp;V37))</f>
        <v>250</v>
      </c>
      <c r="W43" s="47">
        <f>IF(SUMIFS(cf_sales[[Weekly Quant]:[Weekly Quant]], cf_sales[[1st Delivery]:[1st Delivery]], "&lt;="&amp;W39, cf_sales[[Final Delivery]:[Final Delivery]], "&gt;="&amp;W37)=0,
       "",
       SUMIFS(cf_sales[[Weekly Quant]:[Weekly Quant]], cf_sales[[1st Delivery]:[1st Delivery]], "&lt;="&amp;W39, cf_sales[[Final Delivery]:[Final Delivery]], "&gt;="&amp;W37))</f>
        <v>250</v>
      </c>
      <c r="X43" s="47">
        <f>IF(SUMIFS(cf_sales[[Weekly Quant]:[Weekly Quant]], cf_sales[[1st Delivery]:[1st Delivery]], "&lt;="&amp;X39, cf_sales[[Final Delivery]:[Final Delivery]], "&gt;="&amp;X37)=0,
       "",
       SUMIFS(cf_sales[[Weekly Quant]:[Weekly Quant]], cf_sales[[1st Delivery]:[1st Delivery]], "&lt;="&amp;X39, cf_sales[[Final Delivery]:[Final Delivery]], "&gt;="&amp;X37))</f>
        <v>250</v>
      </c>
      <c r="Y43" s="47">
        <f>IF(SUMIFS(cf_sales[[Weekly Quant]:[Weekly Quant]], cf_sales[[1st Delivery]:[1st Delivery]], "&lt;="&amp;Y39, cf_sales[[Final Delivery]:[Final Delivery]], "&gt;="&amp;Y37)=0,
       "",
       SUMIFS(cf_sales[[Weekly Quant]:[Weekly Quant]], cf_sales[[1st Delivery]:[1st Delivery]], "&lt;="&amp;Y39, cf_sales[[Final Delivery]:[Final Delivery]], "&gt;="&amp;Y37))</f>
        <v>250</v>
      </c>
      <c r="Z43" s="47" t="str">
        <f>IF(SUMIFS(cf_sales[[Weekly Quant]:[Weekly Quant]], cf_sales[[1st Delivery]:[1st Delivery]], "&lt;="&amp;Z39, cf_sales[[Final Delivery]:[Final Delivery]], "&gt;="&amp;Z37)=0,
       "",
       SUMIFS(cf_sales[[Weekly Quant]:[Weekly Quant]], cf_sales[[1st Delivery]:[1st Delivery]], "&lt;="&amp;Z39, cf_sales[[Final Delivery]:[Final Delivery]], "&gt;="&amp;Z37))</f>
        <v/>
      </c>
      <c r="AA43" s="47" t="str">
        <f>IF(SUMIFS(cf_sales[[Weekly Quant]:[Weekly Quant]], cf_sales[[1st Delivery]:[1st Delivery]], "&lt;="&amp;AA39, cf_sales[[Final Delivery]:[Final Delivery]], "&gt;="&amp;AA37)=0,
       "",
       SUMIFS(cf_sales[[Weekly Quant]:[Weekly Quant]], cf_sales[[1st Delivery]:[1st Delivery]], "&lt;="&amp;AA39, cf_sales[[Final Delivery]:[Final Delivery]], "&gt;="&amp;AA37))</f>
        <v/>
      </c>
      <c r="AB43" s="47" t="str">
        <f>IF(SUMIFS(cf_sales[[Weekly Quant]:[Weekly Quant]], cf_sales[[1st Delivery]:[1st Delivery]], "&lt;="&amp;AB39, cf_sales[[Final Delivery]:[Final Delivery]], "&gt;="&amp;AB37)=0,
       "",
       SUMIFS(cf_sales[[Weekly Quant]:[Weekly Quant]], cf_sales[[1st Delivery]:[1st Delivery]], "&lt;="&amp;AB39, cf_sales[[Final Delivery]:[Final Delivery]], "&gt;="&amp;AB37))</f>
        <v/>
      </c>
      <c r="AC43" s="47" t="str">
        <f>IF(SUMIFS(cf_sales[[Weekly Quant]:[Weekly Quant]], cf_sales[[1st Delivery]:[1st Delivery]], "&lt;="&amp;AC39, cf_sales[[Final Delivery]:[Final Delivery]], "&gt;="&amp;AC37)=0,
       "",
       SUMIFS(cf_sales[[Weekly Quant]:[Weekly Quant]], cf_sales[[1st Delivery]:[1st Delivery]], "&lt;="&amp;AC39, cf_sales[[Final Delivery]:[Final Delivery]], "&gt;="&amp;AC37))</f>
        <v/>
      </c>
      <c r="AD43" s="47" t="str">
        <f>IF(SUMIFS(cf_sales[[Weekly Quant]:[Weekly Quant]], cf_sales[[1st Delivery]:[1st Delivery]], "&lt;="&amp;AD39, cf_sales[[Final Delivery]:[Final Delivery]], "&gt;="&amp;AD37)=0,
       "",
       SUMIFS(cf_sales[[Weekly Quant]:[Weekly Quant]], cf_sales[[1st Delivery]:[1st Delivery]], "&lt;="&amp;AD39, cf_sales[[Final Delivery]:[Final Delivery]], "&gt;="&amp;AD37))</f>
        <v/>
      </c>
      <c r="AE43" s="47" t="str">
        <f>IF(SUMIFS(cf_sales[[Weekly Quant]:[Weekly Quant]], cf_sales[[1st Delivery]:[1st Delivery]], "&lt;="&amp;AE39, cf_sales[[Final Delivery]:[Final Delivery]], "&gt;="&amp;AE37)=0,
       "",
       SUMIFS(cf_sales[[Weekly Quant]:[Weekly Quant]], cf_sales[[1st Delivery]:[1st Delivery]], "&lt;="&amp;AE39, cf_sales[[Final Delivery]:[Final Delivery]], "&gt;="&amp;AE37))</f>
        <v/>
      </c>
      <c r="AF43" s="47" t="str">
        <f>IF(SUMIFS(cf_sales[[Weekly Quant]:[Weekly Quant]], cf_sales[[1st Delivery]:[1st Delivery]], "&lt;="&amp;AF39, cf_sales[[Final Delivery]:[Final Delivery]], "&gt;="&amp;AF37)=0,
       "",
       SUMIFS(cf_sales[[Weekly Quant]:[Weekly Quant]], cf_sales[[1st Delivery]:[1st Delivery]], "&lt;="&amp;AF39, cf_sales[[Final Delivery]:[Final Delivery]], "&gt;="&amp;AF37))</f>
        <v/>
      </c>
      <c r="AG43" s="47" t="str">
        <f>IF(SUMIFS(cf_sales[[Weekly Quant]:[Weekly Quant]], cf_sales[[1st Delivery]:[1st Delivery]], "&lt;="&amp;AG39, cf_sales[[Final Delivery]:[Final Delivery]], "&gt;="&amp;AG37)=0,
       "",
       SUMIFS(cf_sales[[Weekly Quant]:[Weekly Quant]], cf_sales[[1st Delivery]:[1st Delivery]], "&lt;="&amp;AG39, cf_sales[[Final Delivery]:[Final Delivery]], "&gt;="&amp;AG37))</f>
        <v/>
      </c>
      <c r="AH43" s="47" t="str">
        <f>IF(SUMIFS(cf_sales[[Weekly Quant]:[Weekly Quant]], cf_sales[[1st Delivery]:[1st Delivery]], "&lt;="&amp;AH39, cf_sales[[Final Delivery]:[Final Delivery]], "&gt;="&amp;AH37)=0,
       "",
       SUMIFS(cf_sales[[Weekly Quant]:[Weekly Quant]], cf_sales[[1st Delivery]:[1st Delivery]], "&lt;="&amp;AH39, cf_sales[[Final Delivery]:[Final Delivery]], "&gt;="&amp;AH37))</f>
        <v/>
      </c>
      <c r="AI43" s="47" t="str">
        <f>IF(SUMIFS(cf_sales[[Weekly Quant]:[Weekly Quant]], cf_sales[[1st Delivery]:[1st Delivery]], "&lt;="&amp;AI39, cf_sales[[Final Delivery]:[Final Delivery]], "&gt;="&amp;AI37)=0,
       "",
       SUMIFS(cf_sales[[Weekly Quant]:[Weekly Quant]], cf_sales[[1st Delivery]:[1st Delivery]], "&lt;="&amp;AI39, cf_sales[[Final Delivery]:[Final Delivery]], "&gt;="&amp;AI37))</f>
        <v/>
      </c>
      <c r="AJ43" s="47" t="str">
        <f>IF(SUMIFS(cf_sales[[Weekly Quant]:[Weekly Quant]], cf_sales[[1st Delivery]:[1st Delivery]], "&lt;="&amp;AJ39, cf_sales[[Final Delivery]:[Final Delivery]], "&gt;="&amp;AJ37)=0,
       "",
       SUMIFS(cf_sales[[Weekly Quant]:[Weekly Quant]], cf_sales[[1st Delivery]:[1st Delivery]], "&lt;="&amp;AJ39, cf_sales[[Final Delivery]:[Final Delivery]], "&gt;="&amp;AJ37))</f>
        <v/>
      </c>
      <c r="AK43" s="47" t="str">
        <f>IF(SUMIFS(cf_sales[[Weekly Quant]:[Weekly Quant]], cf_sales[[1st Delivery]:[1st Delivery]], "&lt;="&amp;AK39, cf_sales[[Final Delivery]:[Final Delivery]], "&gt;="&amp;AK37)=0,
       "",
       SUMIFS(cf_sales[[Weekly Quant]:[Weekly Quant]], cf_sales[[1st Delivery]:[1st Delivery]], "&lt;="&amp;AK39, cf_sales[[Final Delivery]:[Final Delivery]], "&gt;="&amp;AK37))</f>
        <v/>
      </c>
      <c r="AL43" s="47" t="str">
        <f>IF(SUMIFS(cf_sales[[Weekly Quant]:[Weekly Quant]], cf_sales[[1st Delivery]:[1st Delivery]], "&lt;="&amp;AL39, cf_sales[[Final Delivery]:[Final Delivery]], "&gt;="&amp;AL37)=0,
       "",
       SUMIFS(cf_sales[[Weekly Quant]:[Weekly Quant]], cf_sales[[1st Delivery]:[1st Delivery]], "&lt;="&amp;AL39, cf_sales[[Final Delivery]:[Final Delivery]], "&gt;="&amp;AL37))</f>
        <v/>
      </c>
      <c r="AM43" s="47" t="str">
        <f>IF(SUMIFS(cf_sales[[Weekly Quant]:[Weekly Quant]], cf_sales[[1st Delivery]:[1st Delivery]], "&lt;="&amp;AM39, cf_sales[[Final Delivery]:[Final Delivery]], "&gt;="&amp;AM37)=0,
       "",
       SUMIFS(cf_sales[[Weekly Quant]:[Weekly Quant]], cf_sales[[1st Delivery]:[1st Delivery]], "&lt;="&amp;AM39, cf_sales[[Final Delivery]:[Final Delivery]], "&gt;="&amp;AM37))</f>
        <v/>
      </c>
      <c r="AN43" s="47" t="str">
        <f>IF(SUMIFS(cf_sales[[Weekly Quant]:[Weekly Quant]], cf_sales[[1st Delivery]:[1st Delivery]], "&lt;="&amp;AN39, cf_sales[[Final Delivery]:[Final Delivery]], "&gt;="&amp;AN37)=0,
       "",
       SUMIFS(cf_sales[[Weekly Quant]:[Weekly Quant]], cf_sales[[1st Delivery]:[1st Delivery]], "&lt;="&amp;AN39, cf_sales[[Final Delivery]:[Final Delivery]], "&gt;="&amp;AN37))</f>
        <v/>
      </c>
      <c r="AO43" s="47" t="str">
        <f>IF(SUMIFS(cf_sales[[Weekly Quant]:[Weekly Quant]], cf_sales[[1st Delivery]:[1st Delivery]], "&lt;="&amp;AO39, cf_sales[[Final Delivery]:[Final Delivery]], "&gt;="&amp;AO37)=0,
       "",
       SUMIFS(cf_sales[[Weekly Quant]:[Weekly Quant]], cf_sales[[1st Delivery]:[1st Delivery]], "&lt;="&amp;AO39, cf_sales[[Final Delivery]:[Final Delivery]], "&gt;="&amp;AO37))</f>
        <v/>
      </c>
      <c r="AP43" s="47" t="str">
        <f>IF(SUMIFS(cf_sales[[Weekly Quant]:[Weekly Quant]], cf_sales[[1st Delivery]:[1st Delivery]], "&lt;="&amp;AP39, cf_sales[[Final Delivery]:[Final Delivery]], "&gt;="&amp;AP37)=0,
       "",
       SUMIFS(cf_sales[[Weekly Quant]:[Weekly Quant]], cf_sales[[1st Delivery]:[1st Delivery]], "&lt;="&amp;AP39, cf_sales[[Final Delivery]:[Final Delivery]], "&gt;="&amp;AP37))</f>
        <v/>
      </c>
      <c r="AQ43" s="47" t="str">
        <f>IF(SUMIFS(cf_sales[[Weekly Quant]:[Weekly Quant]], cf_sales[[1st Delivery]:[1st Delivery]], "&lt;="&amp;AQ39, cf_sales[[Final Delivery]:[Final Delivery]], "&gt;="&amp;AQ37)=0,
       "",
       SUMIFS(cf_sales[[Weekly Quant]:[Weekly Quant]], cf_sales[[1st Delivery]:[1st Delivery]], "&lt;="&amp;AQ39, cf_sales[[Final Delivery]:[Final Delivery]], "&gt;="&amp;AQ37))</f>
        <v/>
      </c>
      <c r="AR43" s="47" t="str">
        <f>IF(SUMIFS(cf_sales[[Weekly Quant]:[Weekly Quant]], cf_sales[[1st Delivery]:[1st Delivery]], "&lt;="&amp;AR39, cf_sales[[Final Delivery]:[Final Delivery]], "&gt;="&amp;AR37)=0,
       "",
       SUMIFS(cf_sales[[Weekly Quant]:[Weekly Quant]], cf_sales[[1st Delivery]:[1st Delivery]], "&lt;="&amp;AR39, cf_sales[[Final Delivery]:[Final Delivery]], "&gt;="&amp;AR37))</f>
        <v/>
      </c>
      <c r="AS43" s="47" t="str">
        <f>IF(SUMIFS(cf_sales[[Weekly Quant]:[Weekly Quant]], cf_sales[[1st Delivery]:[1st Delivery]], "&lt;="&amp;AS39, cf_sales[[Final Delivery]:[Final Delivery]], "&gt;="&amp;AS37)=0,
       "",
       SUMIFS(cf_sales[[Weekly Quant]:[Weekly Quant]], cf_sales[[1st Delivery]:[1st Delivery]], "&lt;="&amp;AS39, cf_sales[[Final Delivery]:[Final Delivery]], "&gt;="&amp;AS37))</f>
        <v/>
      </c>
      <c r="AT43" s="47" t="str">
        <f>IF(SUMIFS(cf_sales[[Weekly Quant]:[Weekly Quant]], cf_sales[[1st Delivery]:[1st Delivery]], "&lt;="&amp;AT39, cf_sales[[Final Delivery]:[Final Delivery]], "&gt;="&amp;AT37)=0,
       "",
       SUMIFS(cf_sales[[Weekly Quant]:[Weekly Quant]], cf_sales[[1st Delivery]:[1st Delivery]], "&lt;="&amp;AT39, cf_sales[[Final Delivery]:[Final Delivery]], "&gt;="&amp;AT37))</f>
        <v/>
      </c>
      <c r="AU43" s="47" t="str">
        <f>IF(SUMIFS(cf_sales[[Weekly Quant]:[Weekly Quant]], cf_sales[[1st Delivery]:[1st Delivery]], "&lt;="&amp;AU39, cf_sales[[Final Delivery]:[Final Delivery]], "&gt;="&amp;AU37)=0,
       "",
       SUMIFS(cf_sales[[Weekly Quant]:[Weekly Quant]], cf_sales[[1st Delivery]:[1st Delivery]], "&lt;="&amp;AU39, cf_sales[[Final Delivery]:[Final Delivery]], "&gt;="&amp;AU37))</f>
        <v/>
      </c>
      <c r="AV43" s="47" t="str">
        <f>IF(SUMIFS(cf_sales[[Weekly Quant]:[Weekly Quant]], cf_sales[[1st Delivery]:[1st Delivery]], "&lt;="&amp;AV39, cf_sales[[Final Delivery]:[Final Delivery]], "&gt;="&amp;AV37)=0,
       "",
       SUMIFS(cf_sales[[Weekly Quant]:[Weekly Quant]], cf_sales[[1st Delivery]:[1st Delivery]], "&lt;="&amp;AV39, cf_sales[[Final Delivery]:[Final Delivery]], "&gt;="&amp;AV37))</f>
        <v/>
      </c>
      <c r="AW43" s="47" t="str">
        <f>IF(SUMIFS(cf_sales[[Weekly Quant]:[Weekly Quant]], cf_sales[[1st Delivery]:[1st Delivery]], "&lt;="&amp;AW39, cf_sales[[Final Delivery]:[Final Delivery]], "&gt;="&amp;AW37)=0,
       "",
       SUMIFS(cf_sales[[Weekly Quant]:[Weekly Quant]], cf_sales[[1st Delivery]:[1st Delivery]], "&lt;="&amp;AW39, cf_sales[[Final Delivery]:[Final Delivery]], "&gt;="&amp;AW37))</f>
        <v/>
      </c>
      <c r="AX43" s="47" t="str">
        <f>IF(SUMIFS(cf_sales[[Weekly Quant]:[Weekly Quant]], cf_sales[[1st Delivery]:[1st Delivery]], "&lt;="&amp;AX39, cf_sales[[Final Delivery]:[Final Delivery]], "&gt;="&amp;AX37)=0,
       "",
       SUMIFS(cf_sales[[Weekly Quant]:[Weekly Quant]], cf_sales[[1st Delivery]:[1st Delivery]], "&lt;="&amp;AX39, cf_sales[[Final Delivery]:[Final Delivery]], "&gt;="&amp;AX37))</f>
        <v/>
      </c>
      <c r="AY43" s="47" t="str">
        <f>IF(SUMIFS(cf_sales[[Weekly Quant]:[Weekly Quant]], cf_sales[[1st Delivery]:[1st Delivery]], "&lt;="&amp;AY39, cf_sales[[Final Delivery]:[Final Delivery]], "&gt;="&amp;AY37)=0,
       "",
       SUMIFS(cf_sales[[Weekly Quant]:[Weekly Quant]], cf_sales[[1st Delivery]:[1st Delivery]], "&lt;="&amp;AY39, cf_sales[[Final Delivery]:[Final Delivery]], "&gt;="&amp;AY37))</f>
        <v/>
      </c>
      <c r="AZ43" s="47" t="str">
        <f>IF(SUMIFS(cf_sales[[Weekly Quant]:[Weekly Quant]], cf_sales[[1st Delivery]:[1st Delivery]], "&lt;="&amp;AZ39, cf_sales[[Final Delivery]:[Final Delivery]], "&gt;="&amp;AZ37)=0,
       "",
       SUMIFS(cf_sales[[Weekly Quant]:[Weekly Quant]], cf_sales[[1st Delivery]:[1st Delivery]], "&lt;="&amp;AZ39, cf_sales[[Final Delivery]:[Final Delivery]], "&gt;="&amp;AZ37))</f>
        <v/>
      </c>
      <c r="BA43" s="47" t="str">
        <f>IF(SUMIFS(cf_sales[[Weekly Quant]:[Weekly Quant]], cf_sales[[1st Delivery]:[1st Delivery]], "&lt;="&amp;BA39, cf_sales[[Final Delivery]:[Final Delivery]], "&gt;="&amp;BA37)=0,
       "",
       SUMIFS(cf_sales[[Weekly Quant]:[Weekly Quant]], cf_sales[[1st Delivery]:[1st Delivery]], "&lt;="&amp;BA39, cf_sales[[Final Delivery]:[Final Delivery]], "&gt;="&amp;BA37))</f>
        <v/>
      </c>
      <c r="BB43" s="47" t="str">
        <f>IF(SUMIFS(cf_sales[[Weekly Quant]:[Weekly Quant]], cf_sales[[1st Delivery]:[1st Delivery]], "&lt;="&amp;BB39, cf_sales[[Final Delivery]:[Final Delivery]], "&gt;="&amp;BB37)=0,
       "",
       SUMIFS(cf_sales[[Weekly Quant]:[Weekly Quant]], cf_sales[[1st Delivery]:[1st Delivery]], "&lt;="&amp;BB39, cf_sales[[Final Delivery]:[Final Delivery]], "&gt;="&amp;BB37))</f>
        <v/>
      </c>
      <c r="BC43" s="47" t="str">
        <f>IF(SUMIFS(cf_sales[[Weekly Quant]:[Weekly Quant]], cf_sales[[1st Delivery]:[1st Delivery]], "&lt;="&amp;BC39, cf_sales[[Final Delivery]:[Final Delivery]], "&gt;="&amp;BC37)=0,
       "",
       SUMIFS(cf_sales[[Weekly Quant]:[Weekly Quant]], cf_sales[[1st Delivery]:[1st Delivery]], "&lt;="&amp;BC39, cf_sales[[Final Delivery]:[Final Delivery]], "&gt;="&amp;BC37))</f>
        <v/>
      </c>
      <c r="BD43" s="47" t="str">
        <f>IF(SUMIFS(cf_sales[[Weekly Quant]:[Weekly Quant]], cf_sales[[1st Delivery]:[1st Delivery]], "&lt;="&amp;BD39, cf_sales[[Final Delivery]:[Final Delivery]], "&gt;="&amp;BD37)=0,
       "",
       SUMIFS(cf_sales[[Weekly Quant]:[Weekly Quant]], cf_sales[[1st Delivery]:[1st Delivery]], "&lt;="&amp;BD39, cf_sales[[Final Delivery]:[Final Delivery]], "&gt;="&amp;BD37))</f>
        <v/>
      </c>
      <c r="BE43" s="47" t="str">
        <f>IF(SUMIFS(cf_sales[[Weekly Quant]:[Weekly Quant]], cf_sales[[1st Delivery]:[1st Delivery]], "&lt;="&amp;BE39, cf_sales[[Final Delivery]:[Final Delivery]], "&gt;="&amp;BE37)=0,
       "",
       SUMIFS(cf_sales[[Weekly Quant]:[Weekly Quant]], cf_sales[[1st Delivery]:[1st Delivery]], "&lt;="&amp;BE39, cf_sales[[Final Delivery]:[Final Delivery]], "&gt;="&amp;BE37))</f>
        <v/>
      </c>
      <c r="BF43" s="47" t="str">
        <f>IF(SUMIFS(cf_sales[[Weekly Quant]:[Weekly Quant]], cf_sales[[1st Delivery]:[1st Delivery]], "&lt;="&amp;BF39, cf_sales[[Final Delivery]:[Final Delivery]], "&gt;="&amp;BF37)=0,
       "",
       SUMIFS(cf_sales[[Weekly Quant]:[Weekly Quant]], cf_sales[[1st Delivery]:[1st Delivery]], "&lt;="&amp;BF39, cf_sales[[Final Delivery]:[Final Delivery]], "&gt;="&amp;BF37))</f>
        <v/>
      </c>
      <c r="BG43" s="47" t="str">
        <f>IF(SUMIFS(cf_sales[[Weekly Quant]:[Weekly Quant]], cf_sales[[1st Delivery]:[1st Delivery]], "&lt;="&amp;BG39, cf_sales[[Final Delivery]:[Final Delivery]], "&gt;="&amp;BG37)=0,
       "",
       SUMIFS(cf_sales[[Weekly Quant]:[Weekly Quant]], cf_sales[[1st Delivery]:[1st Delivery]], "&lt;="&amp;BG39, cf_sales[[Final Delivery]:[Final Delivery]], "&gt;="&amp;BG37))</f>
        <v/>
      </c>
      <c r="BH43" s="28"/>
      <c r="BJ43" s="111"/>
    </row>
    <row r="44" spans="2:62" ht="15.75" customHeight="1" thickBot="1" x14ac:dyDescent="0.3">
      <c r="B44" s="32"/>
      <c r="C44" s="28"/>
      <c r="D44" s="48"/>
      <c r="E44" s="48"/>
      <c r="F44" s="48"/>
      <c r="G44" s="43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28"/>
      <c r="BI44" s="28"/>
      <c r="BJ44" s="28"/>
    </row>
    <row r="45" spans="2:62" ht="15.75" customHeight="1" x14ac:dyDescent="0.25">
      <c r="B45" s="32"/>
      <c r="C45" s="28"/>
      <c r="D45" s="48"/>
      <c r="E45" s="48"/>
      <c r="F45" s="48"/>
      <c r="G45" s="43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28"/>
      <c r="BI45" s="28"/>
      <c r="BJ45" s="28"/>
    </row>
    <row r="46" spans="2:62" ht="15.75" customHeight="1" thickBot="1" x14ac:dyDescent="0.3">
      <c r="B46" s="32"/>
      <c r="C46" s="28"/>
      <c r="D46" s="44" t="s">
        <v>19</v>
      </c>
      <c r="E46" s="28"/>
      <c r="F46" s="51">
        <f>SUM(H46:BG46)</f>
        <v>1000000</v>
      </c>
      <c r="G46" s="43"/>
      <c r="H46" s="52">
        <f>SUM(H48:H49)</f>
        <v>0</v>
      </c>
      <c r="I46" s="52">
        <f t="shared" ref="I46:BG46" si="4">SUM(I48:I49)</f>
        <v>0</v>
      </c>
      <c r="J46" s="52">
        <f t="shared" si="4"/>
        <v>0</v>
      </c>
      <c r="K46" s="52">
        <f t="shared" si="4"/>
        <v>0</v>
      </c>
      <c r="L46" s="52">
        <f t="shared" si="4"/>
        <v>0</v>
      </c>
      <c r="M46" s="52">
        <f t="shared" si="4"/>
        <v>0</v>
      </c>
      <c r="N46" s="52">
        <f t="shared" si="4"/>
        <v>0</v>
      </c>
      <c r="O46" s="52">
        <f t="shared" si="4"/>
        <v>0</v>
      </c>
      <c r="P46" s="52">
        <f t="shared" si="4"/>
        <v>250000</v>
      </c>
      <c r="Q46" s="52">
        <f t="shared" si="4"/>
        <v>0</v>
      </c>
      <c r="R46" s="52">
        <f t="shared" si="4"/>
        <v>0</v>
      </c>
      <c r="S46" s="52">
        <f t="shared" si="4"/>
        <v>0</v>
      </c>
      <c r="T46" s="52">
        <f t="shared" si="4"/>
        <v>0</v>
      </c>
      <c r="U46" s="52">
        <f t="shared" si="4"/>
        <v>0</v>
      </c>
      <c r="V46" s="52">
        <f t="shared" si="4"/>
        <v>0</v>
      </c>
      <c r="W46" s="52">
        <f t="shared" si="4"/>
        <v>0</v>
      </c>
      <c r="X46" s="52">
        <f t="shared" si="4"/>
        <v>0</v>
      </c>
      <c r="Y46" s="52">
        <f t="shared" si="4"/>
        <v>187500</v>
      </c>
      <c r="Z46" s="52">
        <f t="shared" si="4"/>
        <v>187500</v>
      </c>
      <c r="AA46" s="52">
        <f t="shared" si="4"/>
        <v>187500</v>
      </c>
      <c r="AB46" s="52">
        <f t="shared" si="4"/>
        <v>187500</v>
      </c>
      <c r="AC46" s="52">
        <f t="shared" si="4"/>
        <v>0</v>
      </c>
      <c r="AD46" s="52">
        <f t="shared" si="4"/>
        <v>0</v>
      </c>
      <c r="AE46" s="52">
        <f t="shared" si="4"/>
        <v>0</v>
      </c>
      <c r="AF46" s="52">
        <f t="shared" si="4"/>
        <v>0</v>
      </c>
      <c r="AG46" s="52">
        <f t="shared" si="4"/>
        <v>0</v>
      </c>
      <c r="AH46" s="52">
        <f t="shared" si="4"/>
        <v>0</v>
      </c>
      <c r="AI46" s="52">
        <f t="shared" si="4"/>
        <v>0</v>
      </c>
      <c r="AJ46" s="52">
        <f t="shared" si="4"/>
        <v>0</v>
      </c>
      <c r="AK46" s="52">
        <f t="shared" si="4"/>
        <v>0</v>
      </c>
      <c r="AL46" s="52">
        <f t="shared" si="4"/>
        <v>0</v>
      </c>
      <c r="AM46" s="52">
        <f t="shared" si="4"/>
        <v>0</v>
      </c>
      <c r="AN46" s="52">
        <f t="shared" si="4"/>
        <v>0</v>
      </c>
      <c r="AO46" s="52">
        <f t="shared" si="4"/>
        <v>0</v>
      </c>
      <c r="AP46" s="52">
        <f t="shared" si="4"/>
        <v>0</v>
      </c>
      <c r="AQ46" s="52">
        <f t="shared" si="4"/>
        <v>0</v>
      </c>
      <c r="AR46" s="52">
        <f t="shared" si="4"/>
        <v>0</v>
      </c>
      <c r="AS46" s="52">
        <f t="shared" si="4"/>
        <v>0</v>
      </c>
      <c r="AT46" s="52">
        <f t="shared" si="4"/>
        <v>0</v>
      </c>
      <c r="AU46" s="52">
        <f t="shared" si="4"/>
        <v>0</v>
      </c>
      <c r="AV46" s="52">
        <f t="shared" si="4"/>
        <v>0</v>
      </c>
      <c r="AW46" s="52">
        <f t="shared" si="4"/>
        <v>0</v>
      </c>
      <c r="AX46" s="52">
        <f t="shared" si="4"/>
        <v>0</v>
      </c>
      <c r="AY46" s="52">
        <f t="shared" si="4"/>
        <v>0</v>
      </c>
      <c r="AZ46" s="52">
        <f t="shared" si="4"/>
        <v>0</v>
      </c>
      <c r="BA46" s="52">
        <f t="shared" si="4"/>
        <v>0</v>
      </c>
      <c r="BB46" s="52">
        <f t="shared" si="4"/>
        <v>0</v>
      </c>
      <c r="BC46" s="52">
        <f t="shared" si="4"/>
        <v>0</v>
      </c>
      <c r="BD46" s="52">
        <f t="shared" si="4"/>
        <v>0</v>
      </c>
      <c r="BE46" s="52">
        <f t="shared" si="4"/>
        <v>0</v>
      </c>
      <c r="BF46" s="52">
        <f t="shared" si="4"/>
        <v>0</v>
      </c>
      <c r="BG46" s="52">
        <f t="shared" si="4"/>
        <v>0</v>
      </c>
      <c r="BH46" s="28"/>
      <c r="BI46" s="28"/>
      <c r="BJ46" s="28"/>
    </row>
    <row r="47" spans="2:62" ht="15.75" customHeight="1" thickTop="1" x14ac:dyDescent="0.25">
      <c r="B47" s="32"/>
      <c r="C47" s="28"/>
      <c r="D47" s="28"/>
      <c r="E47" s="28"/>
      <c r="F47" s="53"/>
      <c r="G47" s="43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28"/>
      <c r="BI47" s="28"/>
      <c r="BJ47" s="28"/>
    </row>
    <row r="48" spans="2:62" ht="15.75" customHeight="1" x14ac:dyDescent="0.25">
      <c r="B48" s="32"/>
      <c r="C48" s="28"/>
      <c r="D48" s="54" t="s">
        <v>173</v>
      </c>
      <c r="E48" s="28"/>
      <c r="F48" s="51">
        <f>SUM(H48:BG48)</f>
        <v>250000</v>
      </c>
      <c r="G48" s="28"/>
      <c r="H48" s="55">
        <f>SUMIFS(cf_sales[[Deposit Amount]:[Deposit Amount]],cf_sales[[IsoW Dep]:[IsoW Dep]],H33,cf_sales[[Year Dep]:[Year Dep]],H32)</f>
        <v>0</v>
      </c>
      <c r="I48" s="55">
        <f>SUMIFS(cf_sales[[Deposit Amount]:[Deposit Amount]],cf_sales[[IsoW Dep]:[IsoW Dep]],I33,cf_sales[[Year Dep]:[Year Dep]],I32)</f>
        <v>0</v>
      </c>
      <c r="J48" s="55">
        <f>SUMIFS(cf_sales[[Deposit Amount]:[Deposit Amount]],cf_sales[[IsoW Dep]:[IsoW Dep]],J33,cf_sales[[Year Dep]:[Year Dep]],J32)</f>
        <v>0</v>
      </c>
      <c r="K48" s="55">
        <f>SUMIFS(cf_sales[[Deposit Amount]:[Deposit Amount]],cf_sales[[IsoW Dep]:[IsoW Dep]],K33,cf_sales[[Year Dep]:[Year Dep]],K32)</f>
        <v>0</v>
      </c>
      <c r="L48" s="55">
        <f>SUMIFS(cf_sales[[Deposit Amount]:[Deposit Amount]],cf_sales[[IsoW Dep]:[IsoW Dep]],L33,cf_sales[[Year Dep]:[Year Dep]],L32)</f>
        <v>0</v>
      </c>
      <c r="M48" s="55">
        <f>SUMIFS(cf_sales[[Deposit Amount]:[Deposit Amount]],cf_sales[[IsoW Dep]:[IsoW Dep]],M33,cf_sales[[Year Dep]:[Year Dep]],M32)</f>
        <v>0</v>
      </c>
      <c r="N48" s="55">
        <f>SUMIFS(cf_sales[[Deposit Amount]:[Deposit Amount]],cf_sales[[IsoW Dep]:[IsoW Dep]],N33,cf_sales[[Year Dep]:[Year Dep]],N32)</f>
        <v>0</v>
      </c>
      <c r="O48" s="55">
        <f>SUMIFS(cf_sales[[Deposit Amount]:[Deposit Amount]],cf_sales[[IsoW Dep]:[IsoW Dep]],O33,cf_sales[[Year Dep]:[Year Dep]],O32)</f>
        <v>0</v>
      </c>
      <c r="P48" s="55">
        <f>SUMIFS(cf_sales[[Deposit Amount]:[Deposit Amount]],cf_sales[[IsoW Dep]:[IsoW Dep]],P33,cf_sales[[Year Dep]:[Year Dep]],P32)</f>
        <v>250000</v>
      </c>
      <c r="Q48" s="55">
        <f>SUMIFS(cf_sales[[Deposit Amount]:[Deposit Amount]],cf_sales[[IsoW Dep]:[IsoW Dep]],Q33,cf_sales[[Year Dep]:[Year Dep]],Q32)</f>
        <v>0</v>
      </c>
      <c r="R48" s="55">
        <f>SUMIFS(cf_sales[[Deposit Amount]:[Deposit Amount]],cf_sales[[IsoW Dep]:[IsoW Dep]],R33,cf_sales[[Year Dep]:[Year Dep]],R32)</f>
        <v>0</v>
      </c>
      <c r="S48" s="55">
        <f>SUMIFS(cf_sales[[Deposit Amount]:[Deposit Amount]],cf_sales[[IsoW Dep]:[IsoW Dep]],S33,cf_sales[[Year Dep]:[Year Dep]],S32)</f>
        <v>0</v>
      </c>
      <c r="T48" s="55">
        <f>SUMIFS(cf_sales[[Deposit Amount]:[Deposit Amount]],cf_sales[[IsoW Dep]:[IsoW Dep]],T33,cf_sales[[Year Dep]:[Year Dep]],T32)</f>
        <v>0</v>
      </c>
      <c r="U48" s="55">
        <f>SUMIFS(cf_sales[[Deposit Amount]:[Deposit Amount]],cf_sales[[IsoW Dep]:[IsoW Dep]],U33,cf_sales[[Year Dep]:[Year Dep]],U32)</f>
        <v>0</v>
      </c>
      <c r="V48" s="55">
        <f>SUMIFS(cf_sales[[Deposit Amount]:[Deposit Amount]],cf_sales[[IsoW Dep]:[IsoW Dep]],V33,cf_sales[[Year Dep]:[Year Dep]],V32)</f>
        <v>0</v>
      </c>
      <c r="W48" s="55">
        <f>SUMIFS(cf_sales[[Deposit Amount]:[Deposit Amount]],cf_sales[[IsoW Dep]:[IsoW Dep]],W33,cf_sales[[Year Dep]:[Year Dep]],W32)</f>
        <v>0</v>
      </c>
      <c r="X48" s="55">
        <f>SUMIFS(cf_sales[[Deposit Amount]:[Deposit Amount]],cf_sales[[IsoW Dep]:[IsoW Dep]],X33,cf_sales[[Year Dep]:[Year Dep]],X32)</f>
        <v>0</v>
      </c>
      <c r="Y48" s="55">
        <f>SUMIFS(cf_sales[[Deposit Amount]:[Deposit Amount]],cf_sales[[IsoW Dep]:[IsoW Dep]],Y33,cf_sales[[Year Dep]:[Year Dep]],Y32)</f>
        <v>0</v>
      </c>
      <c r="Z48" s="55">
        <f>SUMIFS(cf_sales[[Deposit Amount]:[Deposit Amount]],cf_sales[[IsoW Dep]:[IsoW Dep]],Z33,cf_sales[[Year Dep]:[Year Dep]],Z32)</f>
        <v>0</v>
      </c>
      <c r="AA48" s="55">
        <f>SUMIFS(cf_sales[[Deposit Amount]:[Deposit Amount]],cf_sales[[IsoW Dep]:[IsoW Dep]],AA33,cf_sales[[Year Dep]:[Year Dep]],AA32)</f>
        <v>0</v>
      </c>
      <c r="AB48" s="55">
        <f>SUMIFS(cf_sales[[Deposit Amount]:[Deposit Amount]],cf_sales[[IsoW Dep]:[IsoW Dep]],AB33,cf_sales[[Year Dep]:[Year Dep]],AB32)</f>
        <v>0</v>
      </c>
      <c r="AC48" s="55">
        <f>SUMIFS(cf_sales[[Deposit Amount]:[Deposit Amount]],cf_sales[[IsoW Dep]:[IsoW Dep]],AC33,cf_sales[[Year Dep]:[Year Dep]],AC32)</f>
        <v>0</v>
      </c>
      <c r="AD48" s="55">
        <f>SUMIFS(cf_sales[[Deposit Amount]:[Deposit Amount]],cf_sales[[IsoW Dep]:[IsoW Dep]],AD33,cf_sales[[Year Dep]:[Year Dep]],AD32)</f>
        <v>0</v>
      </c>
      <c r="AE48" s="55">
        <f>SUMIFS(cf_sales[[Deposit Amount]:[Deposit Amount]],cf_sales[[IsoW Dep]:[IsoW Dep]],AE33,cf_sales[[Year Dep]:[Year Dep]],AE32)</f>
        <v>0</v>
      </c>
      <c r="AF48" s="55">
        <f>SUMIFS(cf_sales[[Deposit Amount]:[Deposit Amount]],cf_sales[[IsoW Dep]:[IsoW Dep]],AF33,cf_sales[[Year Dep]:[Year Dep]],AF32)</f>
        <v>0</v>
      </c>
      <c r="AG48" s="55">
        <f>SUMIFS(cf_sales[[Deposit Amount]:[Deposit Amount]],cf_sales[[IsoW Dep]:[IsoW Dep]],AG33,cf_sales[[Year Dep]:[Year Dep]],AG32)</f>
        <v>0</v>
      </c>
      <c r="AH48" s="55">
        <f>SUMIFS(cf_sales[[Deposit Amount]:[Deposit Amount]],cf_sales[[IsoW Dep]:[IsoW Dep]],AH33,cf_sales[[Year Dep]:[Year Dep]],AH32)</f>
        <v>0</v>
      </c>
      <c r="AI48" s="55">
        <f>SUMIFS(cf_sales[[Deposit Amount]:[Deposit Amount]],cf_sales[[IsoW Dep]:[IsoW Dep]],AI33,cf_sales[[Year Dep]:[Year Dep]],AI32)</f>
        <v>0</v>
      </c>
      <c r="AJ48" s="55">
        <f>SUMIFS(cf_sales[[Deposit Amount]:[Deposit Amount]],cf_sales[[IsoW Dep]:[IsoW Dep]],AJ33,cf_sales[[Year Dep]:[Year Dep]],AJ32)</f>
        <v>0</v>
      </c>
      <c r="AK48" s="55">
        <f>SUMIFS(cf_sales[[Deposit Amount]:[Deposit Amount]],cf_sales[[IsoW Dep]:[IsoW Dep]],AK33,cf_sales[[Year Dep]:[Year Dep]],AK32)</f>
        <v>0</v>
      </c>
      <c r="AL48" s="55">
        <f>SUMIFS(cf_sales[[Deposit Amount]:[Deposit Amount]],cf_sales[[IsoW Dep]:[IsoW Dep]],AL33,cf_sales[[Year Dep]:[Year Dep]],AL32)</f>
        <v>0</v>
      </c>
      <c r="AM48" s="55">
        <f>SUMIFS(cf_sales[[Deposit Amount]:[Deposit Amount]],cf_sales[[IsoW Dep]:[IsoW Dep]],AM33,cf_sales[[Year Dep]:[Year Dep]],AM32)</f>
        <v>0</v>
      </c>
      <c r="AN48" s="55">
        <f>SUMIFS(cf_sales[[Deposit Amount]:[Deposit Amount]],cf_sales[[IsoW Dep]:[IsoW Dep]],AN33,cf_sales[[Year Dep]:[Year Dep]],AN32)</f>
        <v>0</v>
      </c>
      <c r="AO48" s="55">
        <f>SUMIFS(cf_sales[[Deposit Amount]:[Deposit Amount]],cf_sales[[IsoW Dep]:[IsoW Dep]],AO33,cf_sales[[Year Dep]:[Year Dep]],AO32)</f>
        <v>0</v>
      </c>
      <c r="AP48" s="55">
        <f>SUMIFS(cf_sales[[Deposit Amount]:[Deposit Amount]],cf_sales[[IsoW Dep]:[IsoW Dep]],AP33,cf_sales[[Year Dep]:[Year Dep]],AP32)</f>
        <v>0</v>
      </c>
      <c r="AQ48" s="55">
        <f>SUMIFS(cf_sales[[Deposit Amount]:[Deposit Amount]],cf_sales[[IsoW Dep]:[IsoW Dep]],AQ33,cf_sales[[Year Dep]:[Year Dep]],AQ32)</f>
        <v>0</v>
      </c>
      <c r="AR48" s="55">
        <f>SUMIFS(cf_sales[[Deposit Amount]:[Deposit Amount]],cf_sales[[IsoW Dep]:[IsoW Dep]],AR33,cf_sales[[Year Dep]:[Year Dep]],AR32)</f>
        <v>0</v>
      </c>
      <c r="AS48" s="55">
        <f>SUMIFS(cf_sales[[Deposit Amount]:[Deposit Amount]],cf_sales[[IsoW Dep]:[IsoW Dep]],AS33,cf_sales[[Year Dep]:[Year Dep]],AS32)</f>
        <v>0</v>
      </c>
      <c r="AT48" s="55">
        <f>SUMIFS(cf_sales[[Deposit Amount]:[Deposit Amount]],cf_sales[[IsoW Dep]:[IsoW Dep]],AT33,cf_sales[[Year Dep]:[Year Dep]],AT32)</f>
        <v>0</v>
      </c>
      <c r="AU48" s="55">
        <f>SUMIFS(cf_sales[[Deposit Amount]:[Deposit Amount]],cf_sales[[IsoW Dep]:[IsoW Dep]],AU33,cf_sales[[Year Dep]:[Year Dep]],AU32)</f>
        <v>0</v>
      </c>
      <c r="AV48" s="55">
        <f>SUMIFS(cf_sales[[Deposit Amount]:[Deposit Amount]],cf_sales[[IsoW Dep]:[IsoW Dep]],AV33,cf_sales[[Year Dep]:[Year Dep]],AV32)</f>
        <v>0</v>
      </c>
      <c r="AW48" s="55">
        <f>SUMIFS(cf_sales[[Deposit Amount]:[Deposit Amount]],cf_sales[[IsoW Dep]:[IsoW Dep]],AW33,cf_sales[[Year Dep]:[Year Dep]],AW32)</f>
        <v>0</v>
      </c>
      <c r="AX48" s="55">
        <f>SUMIFS(cf_sales[[Deposit Amount]:[Deposit Amount]],cf_sales[[IsoW Dep]:[IsoW Dep]],AX33,cf_sales[[Year Dep]:[Year Dep]],AX32)</f>
        <v>0</v>
      </c>
      <c r="AY48" s="55">
        <f>SUMIFS(cf_sales[[Deposit Amount]:[Deposit Amount]],cf_sales[[IsoW Dep]:[IsoW Dep]],AY33,cf_sales[[Year Dep]:[Year Dep]],AY32)</f>
        <v>0</v>
      </c>
      <c r="AZ48" s="55">
        <f>SUMIFS(cf_sales[[Deposit Amount]:[Deposit Amount]],cf_sales[[IsoW Dep]:[IsoW Dep]],AZ33,cf_sales[[Year Dep]:[Year Dep]],AZ32)</f>
        <v>0</v>
      </c>
      <c r="BA48" s="55">
        <f>SUMIFS(cf_sales[[Deposit Amount]:[Deposit Amount]],cf_sales[[IsoW Dep]:[IsoW Dep]],BA33,cf_sales[[Year Dep]:[Year Dep]],BA32)</f>
        <v>0</v>
      </c>
      <c r="BB48" s="55">
        <f>SUMIFS(cf_sales[[Deposit Amount]:[Deposit Amount]],cf_sales[[IsoW Dep]:[IsoW Dep]],BB33,cf_sales[[Year Dep]:[Year Dep]],BB32)</f>
        <v>0</v>
      </c>
      <c r="BC48" s="55">
        <f>SUMIFS(cf_sales[[Deposit Amount]:[Deposit Amount]],cf_sales[[IsoW Dep]:[IsoW Dep]],BC33,cf_sales[[Year Dep]:[Year Dep]],BC32)</f>
        <v>0</v>
      </c>
      <c r="BD48" s="55">
        <f>SUMIFS(cf_sales[[Deposit Amount]:[Deposit Amount]],cf_sales[[IsoW Dep]:[IsoW Dep]],BD33,cf_sales[[Year Dep]:[Year Dep]],BD32)</f>
        <v>0</v>
      </c>
      <c r="BE48" s="55">
        <f>SUMIFS(cf_sales[[Deposit Amount]:[Deposit Amount]],cf_sales[[IsoW Dep]:[IsoW Dep]],BE33,cf_sales[[Year Dep]:[Year Dep]],BE32)</f>
        <v>0</v>
      </c>
      <c r="BF48" s="55">
        <f>SUMIFS(cf_sales[[Deposit Amount]:[Deposit Amount]],cf_sales[[IsoW Dep]:[IsoW Dep]],BF33,cf_sales[[Year Dep]:[Year Dep]],BF32)</f>
        <v>0</v>
      </c>
      <c r="BG48" s="55">
        <f>SUMIFS(cf_sales[[Deposit Amount]:[Deposit Amount]],cf_sales[[IsoW Dep]:[IsoW Dep]],BG33,cf_sales[[Year Dep]:[Year Dep]],BG32)</f>
        <v>0</v>
      </c>
      <c r="BH48" s="28"/>
      <c r="BI48" s="28"/>
      <c r="BJ48" s="28"/>
    </row>
    <row r="49" spans="2:62" ht="15.75" customHeight="1" x14ac:dyDescent="0.25">
      <c r="B49" s="32"/>
      <c r="C49" s="111"/>
      <c r="D49" s="54" t="s">
        <v>174</v>
      </c>
      <c r="E49" s="111"/>
      <c r="F49" s="51">
        <f>SUM(H49:BG49)</f>
        <v>750000</v>
      </c>
      <c r="G49" s="28"/>
      <c r="H49" s="56">
        <f>SUMIFS(cf_sales[[Weekly Sales]:[Weekly Sales]], cf_sales[[1st Payment]:[1st Payment]], "&lt;="&amp;H39, cf_sales[[Final Payment]:[Final Payment]], "&gt;="&amp;H37)</f>
        <v>0</v>
      </c>
      <c r="I49" s="56">
        <f>SUMIFS(cf_sales[[Weekly Sales]:[Weekly Sales]], cf_sales[[1st Payment]:[1st Payment]], "&lt;="&amp;I39, cf_sales[[Final Payment]:[Final Payment]], "&gt;="&amp;I37)</f>
        <v>0</v>
      </c>
      <c r="J49" s="56">
        <f>SUMIFS(cf_sales[[Weekly Sales]:[Weekly Sales]], cf_sales[[1st Payment]:[1st Payment]], "&lt;="&amp;J39, cf_sales[[Final Payment]:[Final Payment]], "&gt;="&amp;J37)</f>
        <v>0</v>
      </c>
      <c r="K49" s="56">
        <f>SUMIFS(cf_sales[[Weekly Sales]:[Weekly Sales]], cf_sales[[1st Payment]:[1st Payment]], "&lt;="&amp;K39, cf_sales[[Final Payment]:[Final Payment]], "&gt;="&amp;K37)</f>
        <v>0</v>
      </c>
      <c r="L49" s="56">
        <f>SUMIFS(cf_sales[[Weekly Sales]:[Weekly Sales]], cf_sales[[1st Payment]:[1st Payment]], "&lt;="&amp;L39, cf_sales[[Final Payment]:[Final Payment]], "&gt;="&amp;L37)</f>
        <v>0</v>
      </c>
      <c r="M49" s="56">
        <f>SUMIFS(cf_sales[[Weekly Sales]:[Weekly Sales]], cf_sales[[1st Payment]:[1st Payment]], "&lt;="&amp;M39, cf_sales[[Final Payment]:[Final Payment]], "&gt;="&amp;M37)</f>
        <v>0</v>
      </c>
      <c r="N49" s="56">
        <f>SUMIFS(cf_sales[[Weekly Sales]:[Weekly Sales]], cf_sales[[1st Payment]:[1st Payment]], "&lt;="&amp;N39, cf_sales[[Final Payment]:[Final Payment]], "&gt;="&amp;N37)</f>
        <v>0</v>
      </c>
      <c r="O49" s="56">
        <f>SUMIFS(cf_sales[[Weekly Sales]:[Weekly Sales]], cf_sales[[1st Payment]:[1st Payment]], "&lt;="&amp;O39, cf_sales[[Final Payment]:[Final Payment]], "&gt;="&amp;O37)</f>
        <v>0</v>
      </c>
      <c r="P49" s="56">
        <f>SUMIFS(cf_sales[[Weekly Sales]:[Weekly Sales]], cf_sales[[1st Payment]:[1st Payment]], "&lt;="&amp;P39, cf_sales[[Final Payment]:[Final Payment]], "&gt;="&amp;P37)</f>
        <v>0</v>
      </c>
      <c r="Q49" s="56">
        <f>SUMIFS(cf_sales[[Weekly Sales]:[Weekly Sales]], cf_sales[[1st Payment]:[1st Payment]], "&lt;="&amp;Q39, cf_sales[[Final Payment]:[Final Payment]], "&gt;="&amp;Q37)</f>
        <v>0</v>
      </c>
      <c r="R49" s="56">
        <f>SUMIFS(cf_sales[[Weekly Sales]:[Weekly Sales]], cf_sales[[1st Payment]:[1st Payment]], "&lt;="&amp;R39, cf_sales[[Final Payment]:[Final Payment]], "&gt;="&amp;R37)</f>
        <v>0</v>
      </c>
      <c r="S49" s="56">
        <f>SUMIFS(cf_sales[[Weekly Sales]:[Weekly Sales]], cf_sales[[1st Payment]:[1st Payment]], "&lt;="&amp;S39, cf_sales[[Final Payment]:[Final Payment]], "&gt;="&amp;S37)</f>
        <v>0</v>
      </c>
      <c r="T49" s="56">
        <f>SUMIFS(cf_sales[[Weekly Sales]:[Weekly Sales]], cf_sales[[1st Payment]:[1st Payment]], "&lt;="&amp;T39, cf_sales[[Final Payment]:[Final Payment]], "&gt;="&amp;T37)</f>
        <v>0</v>
      </c>
      <c r="U49" s="56">
        <f>SUMIFS(cf_sales[[Weekly Sales]:[Weekly Sales]], cf_sales[[1st Payment]:[1st Payment]], "&lt;="&amp;U39, cf_sales[[Final Payment]:[Final Payment]], "&gt;="&amp;U37)</f>
        <v>0</v>
      </c>
      <c r="V49" s="56">
        <f>SUMIFS(cf_sales[[Weekly Sales]:[Weekly Sales]], cf_sales[[1st Payment]:[1st Payment]], "&lt;="&amp;V39, cf_sales[[Final Payment]:[Final Payment]], "&gt;="&amp;V37)</f>
        <v>0</v>
      </c>
      <c r="W49" s="56">
        <f>SUMIFS(cf_sales[[Weekly Sales]:[Weekly Sales]], cf_sales[[1st Payment]:[1st Payment]], "&lt;="&amp;W39, cf_sales[[Final Payment]:[Final Payment]], "&gt;="&amp;W37)</f>
        <v>0</v>
      </c>
      <c r="X49" s="56">
        <f>SUMIFS(cf_sales[[Weekly Sales]:[Weekly Sales]], cf_sales[[1st Payment]:[1st Payment]], "&lt;="&amp;X39, cf_sales[[Final Payment]:[Final Payment]], "&gt;="&amp;X37)</f>
        <v>0</v>
      </c>
      <c r="Y49" s="56">
        <f>SUMIFS(cf_sales[[Weekly Sales]:[Weekly Sales]], cf_sales[[1st Payment]:[1st Payment]], "&lt;="&amp;Y39, cf_sales[[Final Payment]:[Final Payment]], "&gt;="&amp;Y37)</f>
        <v>187500</v>
      </c>
      <c r="Z49" s="56">
        <f>SUMIFS(cf_sales[[Weekly Sales]:[Weekly Sales]], cf_sales[[1st Payment]:[1st Payment]], "&lt;="&amp;Z39, cf_sales[[Final Payment]:[Final Payment]], "&gt;="&amp;Z37)</f>
        <v>187500</v>
      </c>
      <c r="AA49" s="56">
        <f>SUMIFS(cf_sales[[Weekly Sales]:[Weekly Sales]], cf_sales[[1st Payment]:[1st Payment]], "&lt;="&amp;AA39, cf_sales[[Final Payment]:[Final Payment]], "&gt;="&amp;AA37)</f>
        <v>187500</v>
      </c>
      <c r="AB49" s="56">
        <f>SUMIFS(cf_sales[[Weekly Sales]:[Weekly Sales]], cf_sales[[1st Payment]:[1st Payment]], "&lt;="&amp;AB39, cf_sales[[Final Payment]:[Final Payment]], "&gt;="&amp;AB37)</f>
        <v>187500</v>
      </c>
      <c r="AC49" s="56">
        <f>SUMIFS(cf_sales[[Weekly Sales]:[Weekly Sales]], cf_sales[[1st Payment]:[1st Payment]], "&lt;="&amp;AC39, cf_sales[[Final Payment]:[Final Payment]], "&gt;="&amp;AC37)</f>
        <v>0</v>
      </c>
      <c r="AD49" s="56">
        <f>SUMIFS(cf_sales[[Weekly Sales]:[Weekly Sales]], cf_sales[[1st Payment]:[1st Payment]], "&lt;="&amp;AD39, cf_sales[[Final Payment]:[Final Payment]], "&gt;="&amp;AD37)</f>
        <v>0</v>
      </c>
      <c r="AE49" s="56">
        <f>SUMIFS(cf_sales[[Weekly Sales]:[Weekly Sales]], cf_sales[[1st Payment]:[1st Payment]], "&lt;="&amp;AE39, cf_sales[[Final Payment]:[Final Payment]], "&gt;="&amp;AE37)</f>
        <v>0</v>
      </c>
      <c r="AF49" s="56">
        <f>SUMIFS(cf_sales[[Weekly Sales]:[Weekly Sales]], cf_sales[[1st Payment]:[1st Payment]], "&lt;="&amp;AF39, cf_sales[[Final Payment]:[Final Payment]], "&gt;="&amp;AF37)</f>
        <v>0</v>
      </c>
      <c r="AG49" s="56">
        <f>SUMIFS(cf_sales[[Weekly Sales]:[Weekly Sales]], cf_sales[[1st Payment]:[1st Payment]], "&lt;="&amp;AG39, cf_sales[[Final Payment]:[Final Payment]], "&gt;="&amp;AG37)</f>
        <v>0</v>
      </c>
      <c r="AH49" s="56">
        <f>SUMIFS(cf_sales[[Weekly Sales]:[Weekly Sales]], cf_sales[[1st Payment]:[1st Payment]], "&lt;="&amp;AH39, cf_sales[[Final Payment]:[Final Payment]], "&gt;="&amp;AH37)</f>
        <v>0</v>
      </c>
      <c r="AI49" s="56">
        <f>SUMIFS(cf_sales[[Weekly Sales]:[Weekly Sales]], cf_sales[[1st Payment]:[1st Payment]], "&lt;="&amp;AI39, cf_sales[[Final Payment]:[Final Payment]], "&gt;="&amp;AI37)</f>
        <v>0</v>
      </c>
      <c r="AJ49" s="56">
        <f>SUMIFS(cf_sales[[Weekly Sales]:[Weekly Sales]], cf_sales[[1st Payment]:[1st Payment]], "&lt;="&amp;AJ39, cf_sales[[Final Payment]:[Final Payment]], "&gt;="&amp;AJ37)</f>
        <v>0</v>
      </c>
      <c r="AK49" s="56">
        <f>SUMIFS(cf_sales[[Weekly Sales]:[Weekly Sales]], cf_sales[[1st Payment]:[1st Payment]], "&lt;="&amp;AK39, cf_sales[[Final Payment]:[Final Payment]], "&gt;="&amp;AK37)</f>
        <v>0</v>
      </c>
      <c r="AL49" s="56">
        <f>SUMIFS(cf_sales[[Weekly Sales]:[Weekly Sales]], cf_sales[[1st Payment]:[1st Payment]], "&lt;="&amp;AL39, cf_sales[[Final Payment]:[Final Payment]], "&gt;="&amp;AL37)</f>
        <v>0</v>
      </c>
      <c r="AM49" s="56">
        <f>SUMIFS(cf_sales[[Weekly Sales]:[Weekly Sales]], cf_sales[[1st Payment]:[1st Payment]], "&lt;="&amp;AM39, cf_sales[[Final Payment]:[Final Payment]], "&gt;="&amp;AM37)</f>
        <v>0</v>
      </c>
      <c r="AN49" s="56">
        <f>SUMIFS(cf_sales[[Weekly Sales]:[Weekly Sales]], cf_sales[[1st Payment]:[1st Payment]], "&lt;="&amp;AN39, cf_sales[[Final Payment]:[Final Payment]], "&gt;="&amp;AN37)</f>
        <v>0</v>
      </c>
      <c r="AO49" s="56">
        <f>SUMIFS(cf_sales[[Weekly Sales]:[Weekly Sales]], cf_sales[[1st Payment]:[1st Payment]], "&lt;="&amp;AO39, cf_sales[[Final Payment]:[Final Payment]], "&gt;="&amp;AO37)</f>
        <v>0</v>
      </c>
      <c r="AP49" s="56">
        <f>SUMIFS(cf_sales[[Weekly Sales]:[Weekly Sales]], cf_sales[[1st Payment]:[1st Payment]], "&lt;="&amp;AP39, cf_sales[[Final Payment]:[Final Payment]], "&gt;="&amp;AP37)</f>
        <v>0</v>
      </c>
      <c r="AQ49" s="56">
        <f>SUMIFS(cf_sales[[Weekly Sales]:[Weekly Sales]], cf_sales[[1st Payment]:[1st Payment]], "&lt;="&amp;AQ39, cf_sales[[Final Payment]:[Final Payment]], "&gt;="&amp;AQ37)</f>
        <v>0</v>
      </c>
      <c r="AR49" s="56">
        <f>SUMIFS(cf_sales[[Weekly Sales]:[Weekly Sales]], cf_sales[[1st Payment]:[1st Payment]], "&lt;="&amp;AR39, cf_sales[[Final Payment]:[Final Payment]], "&gt;="&amp;AR37)</f>
        <v>0</v>
      </c>
      <c r="AS49" s="56">
        <f>SUMIFS(cf_sales[[Weekly Sales]:[Weekly Sales]], cf_sales[[1st Payment]:[1st Payment]], "&lt;="&amp;AS39, cf_sales[[Final Payment]:[Final Payment]], "&gt;="&amp;AS37)</f>
        <v>0</v>
      </c>
      <c r="AT49" s="56">
        <f>SUMIFS(cf_sales[[Weekly Sales]:[Weekly Sales]], cf_sales[[1st Payment]:[1st Payment]], "&lt;="&amp;AT39, cf_sales[[Final Payment]:[Final Payment]], "&gt;="&amp;AT37)</f>
        <v>0</v>
      </c>
      <c r="AU49" s="56">
        <f>SUMIFS(cf_sales[[Weekly Sales]:[Weekly Sales]], cf_sales[[1st Payment]:[1st Payment]], "&lt;="&amp;AU39, cf_sales[[Final Payment]:[Final Payment]], "&gt;="&amp;AU37)</f>
        <v>0</v>
      </c>
      <c r="AV49" s="56">
        <f>SUMIFS(cf_sales[[Weekly Sales]:[Weekly Sales]], cf_sales[[1st Payment]:[1st Payment]], "&lt;="&amp;AV39, cf_sales[[Final Payment]:[Final Payment]], "&gt;="&amp;AV37)</f>
        <v>0</v>
      </c>
      <c r="AW49" s="56">
        <f>SUMIFS(cf_sales[[Weekly Sales]:[Weekly Sales]], cf_sales[[1st Payment]:[1st Payment]], "&lt;="&amp;AW39, cf_sales[[Final Payment]:[Final Payment]], "&gt;="&amp;AW37)</f>
        <v>0</v>
      </c>
      <c r="AX49" s="56">
        <f>SUMIFS(cf_sales[[Weekly Sales]:[Weekly Sales]], cf_sales[[1st Payment]:[1st Payment]], "&lt;="&amp;AX39, cf_sales[[Final Payment]:[Final Payment]], "&gt;="&amp;AX37)</f>
        <v>0</v>
      </c>
      <c r="AY49" s="56">
        <f>SUMIFS(cf_sales[[Weekly Sales]:[Weekly Sales]], cf_sales[[1st Payment]:[1st Payment]], "&lt;="&amp;AY39, cf_sales[[Final Payment]:[Final Payment]], "&gt;="&amp;AY37)</f>
        <v>0</v>
      </c>
      <c r="AZ49" s="56">
        <f>SUMIFS(cf_sales[[Weekly Sales]:[Weekly Sales]], cf_sales[[1st Payment]:[1st Payment]], "&lt;="&amp;AZ39, cf_sales[[Final Payment]:[Final Payment]], "&gt;="&amp;AZ37)</f>
        <v>0</v>
      </c>
      <c r="BA49" s="56">
        <f>SUMIFS(cf_sales[[Weekly Sales]:[Weekly Sales]], cf_sales[[1st Payment]:[1st Payment]], "&lt;="&amp;BA39, cf_sales[[Final Payment]:[Final Payment]], "&gt;="&amp;BA37)</f>
        <v>0</v>
      </c>
      <c r="BB49" s="56">
        <f>SUMIFS(cf_sales[[Weekly Sales]:[Weekly Sales]], cf_sales[[1st Payment]:[1st Payment]], "&lt;="&amp;BB39, cf_sales[[Final Payment]:[Final Payment]], "&gt;="&amp;BB37)</f>
        <v>0</v>
      </c>
      <c r="BC49" s="56">
        <f>SUMIFS(cf_sales[[Weekly Sales]:[Weekly Sales]], cf_sales[[1st Payment]:[1st Payment]], "&lt;="&amp;BC39, cf_sales[[Final Payment]:[Final Payment]], "&gt;="&amp;BC37)</f>
        <v>0</v>
      </c>
      <c r="BD49" s="56">
        <f>SUMIFS(cf_sales[[Weekly Sales]:[Weekly Sales]], cf_sales[[1st Payment]:[1st Payment]], "&lt;="&amp;BD39, cf_sales[[Final Payment]:[Final Payment]], "&gt;="&amp;BD37)</f>
        <v>0</v>
      </c>
      <c r="BE49" s="56">
        <f>SUMIFS(cf_sales[[Weekly Sales]:[Weekly Sales]], cf_sales[[1st Payment]:[1st Payment]], "&lt;="&amp;BE39, cf_sales[[Final Payment]:[Final Payment]], "&gt;="&amp;BE37)</f>
        <v>0</v>
      </c>
      <c r="BF49" s="56">
        <f>SUMIFS(cf_sales[[Weekly Sales]:[Weekly Sales]], cf_sales[[1st Payment]:[1st Payment]], "&lt;="&amp;BF39, cf_sales[[Final Payment]:[Final Payment]], "&gt;="&amp;BF37)</f>
        <v>0</v>
      </c>
      <c r="BG49" s="56">
        <f>SUMIFS(cf_sales[[Weekly Sales]:[Weekly Sales]], cf_sales[[1st Payment]:[1st Payment]], "&lt;="&amp;BG39, cf_sales[[Final Payment]:[Final Payment]], "&gt;="&amp;BG37)</f>
        <v>0</v>
      </c>
      <c r="BH49" s="28"/>
      <c r="BI49" s="28"/>
      <c r="BJ49" s="28"/>
    </row>
    <row r="50" spans="2:62" ht="15.75" customHeight="1" x14ac:dyDescent="0.25">
      <c r="B50" s="32"/>
      <c r="C50" s="111"/>
      <c r="D50" s="28"/>
      <c r="E50" s="111"/>
      <c r="F50" s="53"/>
      <c r="G50" s="28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28"/>
      <c r="BI50" s="28"/>
      <c r="BJ50" s="28"/>
    </row>
    <row r="51" spans="2:62" ht="15.75" customHeight="1" thickBot="1" x14ac:dyDescent="0.3">
      <c r="B51" s="32"/>
      <c r="C51" s="111"/>
      <c r="D51" s="44" t="s">
        <v>175</v>
      </c>
      <c r="E51" s="111"/>
      <c r="F51" s="51">
        <f>SUM(H51:BG51)</f>
        <v>-500000</v>
      </c>
      <c r="G51" s="28"/>
      <c r="H51" s="52">
        <f>SUM(H53:H56)*-1</f>
        <v>-125000</v>
      </c>
      <c r="I51" s="52">
        <f t="shared" ref="I51:BG51" si="5">SUM(I53:I56)*-1</f>
        <v>0</v>
      </c>
      <c r="J51" s="52">
        <f t="shared" si="5"/>
        <v>0</v>
      </c>
      <c r="K51" s="52">
        <f t="shared" si="5"/>
        <v>0</v>
      </c>
      <c r="L51" s="52">
        <f t="shared" si="5"/>
        <v>0</v>
      </c>
      <c r="M51" s="52">
        <f t="shared" si="5"/>
        <v>0</v>
      </c>
      <c r="N51" s="52">
        <f t="shared" si="5"/>
        <v>0</v>
      </c>
      <c r="O51" s="52">
        <f t="shared" si="5"/>
        <v>0</v>
      </c>
      <c r="P51" s="52">
        <f t="shared" si="5"/>
        <v>-375000</v>
      </c>
      <c r="Q51" s="52">
        <f t="shared" si="5"/>
        <v>0</v>
      </c>
      <c r="R51" s="52">
        <f t="shared" si="5"/>
        <v>0</v>
      </c>
      <c r="S51" s="52">
        <f t="shared" si="5"/>
        <v>0</v>
      </c>
      <c r="T51" s="52">
        <f t="shared" si="5"/>
        <v>0</v>
      </c>
      <c r="U51" s="52">
        <f t="shared" si="5"/>
        <v>0</v>
      </c>
      <c r="V51" s="52">
        <f t="shared" si="5"/>
        <v>0</v>
      </c>
      <c r="W51" s="52">
        <f t="shared" si="5"/>
        <v>0</v>
      </c>
      <c r="X51" s="52">
        <f t="shared" si="5"/>
        <v>0</v>
      </c>
      <c r="Y51" s="52">
        <f t="shared" si="5"/>
        <v>0</v>
      </c>
      <c r="Z51" s="52">
        <f t="shared" si="5"/>
        <v>0</v>
      </c>
      <c r="AA51" s="52">
        <f t="shared" si="5"/>
        <v>0</v>
      </c>
      <c r="AB51" s="52">
        <f t="shared" si="5"/>
        <v>0</v>
      </c>
      <c r="AC51" s="52">
        <f t="shared" si="5"/>
        <v>0</v>
      </c>
      <c r="AD51" s="52">
        <f t="shared" si="5"/>
        <v>0</v>
      </c>
      <c r="AE51" s="52">
        <f t="shared" si="5"/>
        <v>0</v>
      </c>
      <c r="AF51" s="52">
        <f t="shared" si="5"/>
        <v>0</v>
      </c>
      <c r="AG51" s="52">
        <f t="shared" si="5"/>
        <v>0</v>
      </c>
      <c r="AH51" s="52">
        <f t="shared" si="5"/>
        <v>0</v>
      </c>
      <c r="AI51" s="52">
        <f t="shared" si="5"/>
        <v>0</v>
      </c>
      <c r="AJ51" s="52">
        <f t="shared" si="5"/>
        <v>0</v>
      </c>
      <c r="AK51" s="52">
        <f t="shared" si="5"/>
        <v>0</v>
      </c>
      <c r="AL51" s="52">
        <f t="shared" si="5"/>
        <v>0</v>
      </c>
      <c r="AM51" s="52">
        <f t="shared" si="5"/>
        <v>0</v>
      </c>
      <c r="AN51" s="52">
        <f t="shared" si="5"/>
        <v>0</v>
      </c>
      <c r="AO51" s="52">
        <f t="shared" si="5"/>
        <v>0</v>
      </c>
      <c r="AP51" s="52">
        <f t="shared" si="5"/>
        <v>0</v>
      </c>
      <c r="AQ51" s="52">
        <f t="shared" si="5"/>
        <v>0</v>
      </c>
      <c r="AR51" s="52">
        <f t="shared" si="5"/>
        <v>0</v>
      </c>
      <c r="AS51" s="52">
        <f t="shared" si="5"/>
        <v>0</v>
      </c>
      <c r="AT51" s="52">
        <f t="shared" si="5"/>
        <v>0</v>
      </c>
      <c r="AU51" s="52">
        <f t="shared" si="5"/>
        <v>0</v>
      </c>
      <c r="AV51" s="52">
        <f t="shared" si="5"/>
        <v>0</v>
      </c>
      <c r="AW51" s="52">
        <f t="shared" si="5"/>
        <v>0</v>
      </c>
      <c r="AX51" s="52">
        <f t="shared" si="5"/>
        <v>0</v>
      </c>
      <c r="AY51" s="52">
        <f t="shared" si="5"/>
        <v>0</v>
      </c>
      <c r="AZ51" s="52">
        <f t="shared" si="5"/>
        <v>0</v>
      </c>
      <c r="BA51" s="52">
        <f t="shared" si="5"/>
        <v>0</v>
      </c>
      <c r="BB51" s="52">
        <f t="shared" si="5"/>
        <v>0</v>
      </c>
      <c r="BC51" s="52">
        <f t="shared" si="5"/>
        <v>0</v>
      </c>
      <c r="BD51" s="52">
        <f t="shared" si="5"/>
        <v>0</v>
      </c>
      <c r="BE51" s="52">
        <f t="shared" si="5"/>
        <v>0</v>
      </c>
      <c r="BF51" s="52">
        <f t="shared" si="5"/>
        <v>0</v>
      </c>
      <c r="BG51" s="52">
        <f t="shared" si="5"/>
        <v>0</v>
      </c>
      <c r="BH51" s="28"/>
      <c r="BI51" s="28"/>
      <c r="BJ51" s="28"/>
    </row>
    <row r="52" spans="2:62" ht="15.75" customHeight="1" thickTop="1" x14ac:dyDescent="0.25">
      <c r="B52" s="32"/>
      <c r="C52" s="111"/>
      <c r="D52" s="28"/>
      <c r="E52" s="111"/>
      <c r="F52" s="53"/>
      <c r="G52" s="28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28"/>
      <c r="BI52" s="28"/>
      <c r="BJ52" s="28"/>
    </row>
    <row r="53" spans="2:62" ht="15.75" customHeight="1" x14ac:dyDescent="0.25">
      <c r="B53" s="32"/>
      <c r="C53" s="111"/>
      <c r="D53" s="54" t="s">
        <v>173</v>
      </c>
      <c r="E53" s="111"/>
      <c r="F53" s="51">
        <f>SUM(H53:BG53)</f>
        <v>125000</v>
      </c>
      <c r="G53" s="28"/>
      <c r="H53" s="55">
        <f>SUMIFS(cf_purch[[Dep Vat]:[Dep Vat]],cf_purch[[IsoW Dep]:[IsoW Dep]],H33,cf_purch[[Year Dep]:[Year Dep]],H32)</f>
        <v>125000</v>
      </c>
      <c r="I53" s="55">
        <f>SUMIFS(cf_purch[[Dep Vat]:[Dep Vat]],cf_purch[[IsoW Dep]:[IsoW Dep]],I33,cf_purch[[Year Dep]:[Year Dep]],I32)</f>
        <v>0</v>
      </c>
      <c r="J53" s="55">
        <f>SUMIFS(cf_purch[[Dep Vat]:[Dep Vat]],cf_purch[[IsoW Dep]:[IsoW Dep]],J33,cf_purch[[Year Dep]:[Year Dep]],J32)</f>
        <v>0</v>
      </c>
      <c r="K53" s="55">
        <f>SUMIFS(cf_purch[[Dep Vat]:[Dep Vat]],cf_purch[[IsoW Dep]:[IsoW Dep]],K33,cf_purch[[Year Dep]:[Year Dep]],K32)</f>
        <v>0</v>
      </c>
      <c r="L53" s="55">
        <f>SUMIFS(cf_purch[[Dep Vat]:[Dep Vat]],cf_purch[[IsoW Dep]:[IsoW Dep]],L33,cf_purch[[Year Dep]:[Year Dep]],L32)</f>
        <v>0</v>
      </c>
      <c r="M53" s="55">
        <f>SUMIFS(cf_purch[[Dep Vat]:[Dep Vat]],cf_purch[[IsoW Dep]:[IsoW Dep]],M33,cf_purch[[Year Dep]:[Year Dep]],M32)</f>
        <v>0</v>
      </c>
      <c r="N53" s="55">
        <f>SUMIFS(cf_purch[[Dep Vat]:[Dep Vat]],cf_purch[[IsoW Dep]:[IsoW Dep]],N33,cf_purch[[Year Dep]:[Year Dep]],N32)</f>
        <v>0</v>
      </c>
      <c r="O53" s="55">
        <f>SUMIFS(cf_purch[[Dep Vat]:[Dep Vat]],cf_purch[[IsoW Dep]:[IsoW Dep]],O33,cf_purch[[Year Dep]:[Year Dep]],O32)</f>
        <v>0</v>
      </c>
      <c r="P53" s="55">
        <f>SUMIFS(cf_purch[[Dep Vat]:[Dep Vat]],cf_purch[[IsoW Dep]:[IsoW Dep]],P33,cf_purch[[Year Dep]:[Year Dep]],P32)</f>
        <v>0</v>
      </c>
      <c r="Q53" s="55">
        <f>SUMIFS(cf_purch[[Dep Vat]:[Dep Vat]],cf_purch[[IsoW Dep]:[IsoW Dep]],Q33,cf_purch[[Year Dep]:[Year Dep]],Q32)</f>
        <v>0</v>
      </c>
      <c r="R53" s="55">
        <f>SUMIFS(cf_purch[[Dep Vat]:[Dep Vat]],cf_purch[[IsoW Dep]:[IsoW Dep]],R33,cf_purch[[Year Dep]:[Year Dep]],R32)</f>
        <v>0</v>
      </c>
      <c r="S53" s="55">
        <f>SUMIFS(cf_purch[[Dep Vat]:[Dep Vat]],cf_purch[[IsoW Dep]:[IsoW Dep]],S33,cf_purch[[Year Dep]:[Year Dep]],S32)</f>
        <v>0</v>
      </c>
      <c r="T53" s="55">
        <f>SUMIFS(cf_purch[[Dep Vat]:[Dep Vat]],cf_purch[[IsoW Dep]:[IsoW Dep]],T33,cf_purch[[Year Dep]:[Year Dep]],T32)</f>
        <v>0</v>
      </c>
      <c r="U53" s="55">
        <f>SUMIFS(cf_purch[[Dep Vat]:[Dep Vat]],cf_purch[[IsoW Dep]:[IsoW Dep]],U33,cf_purch[[Year Dep]:[Year Dep]],U32)</f>
        <v>0</v>
      </c>
      <c r="V53" s="55">
        <f>SUMIFS(cf_purch[[Dep Vat]:[Dep Vat]],cf_purch[[IsoW Dep]:[IsoW Dep]],V33,cf_purch[[Year Dep]:[Year Dep]],V32)</f>
        <v>0</v>
      </c>
      <c r="W53" s="55">
        <f>SUMIFS(cf_purch[[Dep Vat]:[Dep Vat]],cf_purch[[IsoW Dep]:[IsoW Dep]],W33,cf_purch[[Year Dep]:[Year Dep]],W32)</f>
        <v>0</v>
      </c>
      <c r="X53" s="55">
        <f>SUMIFS(cf_purch[[Dep Vat]:[Dep Vat]],cf_purch[[IsoW Dep]:[IsoW Dep]],X33,cf_purch[[Year Dep]:[Year Dep]],X32)</f>
        <v>0</v>
      </c>
      <c r="Y53" s="55">
        <f>SUMIFS(cf_purch[[Dep Vat]:[Dep Vat]],cf_purch[[IsoW Dep]:[IsoW Dep]],Y33,cf_purch[[Year Dep]:[Year Dep]],Y32)</f>
        <v>0</v>
      </c>
      <c r="Z53" s="55">
        <f>SUMIFS(cf_purch[[Dep Vat]:[Dep Vat]],cf_purch[[IsoW Dep]:[IsoW Dep]],Z33,cf_purch[[Year Dep]:[Year Dep]],Z32)</f>
        <v>0</v>
      </c>
      <c r="AA53" s="55">
        <f>SUMIFS(cf_purch[[Dep Vat]:[Dep Vat]],cf_purch[[IsoW Dep]:[IsoW Dep]],AA33,cf_purch[[Year Dep]:[Year Dep]],AA32)</f>
        <v>0</v>
      </c>
      <c r="AB53" s="55">
        <f>SUMIFS(cf_purch[[Dep Vat]:[Dep Vat]],cf_purch[[IsoW Dep]:[IsoW Dep]],AB33,cf_purch[[Year Dep]:[Year Dep]],AB32)</f>
        <v>0</v>
      </c>
      <c r="AC53" s="55">
        <f>SUMIFS(cf_purch[[Dep Vat]:[Dep Vat]],cf_purch[[IsoW Dep]:[IsoW Dep]],AC33,cf_purch[[Year Dep]:[Year Dep]],AC32)</f>
        <v>0</v>
      </c>
      <c r="AD53" s="55">
        <f>SUMIFS(cf_purch[[Dep Vat]:[Dep Vat]],cf_purch[[IsoW Dep]:[IsoW Dep]],AD33,cf_purch[[Year Dep]:[Year Dep]],AD32)</f>
        <v>0</v>
      </c>
      <c r="AE53" s="55">
        <f>SUMIFS(cf_purch[[Dep Vat]:[Dep Vat]],cf_purch[[IsoW Dep]:[IsoW Dep]],AE33,cf_purch[[Year Dep]:[Year Dep]],AE32)</f>
        <v>0</v>
      </c>
      <c r="AF53" s="55">
        <f>SUMIFS(cf_purch[[Dep Vat]:[Dep Vat]],cf_purch[[IsoW Dep]:[IsoW Dep]],AF33,cf_purch[[Year Dep]:[Year Dep]],AF32)</f>
        <v>0</v>
      </c>
      <c r="AG53" s="55">
        <f>SUMIFS(cf_purch[[Dep Vat]:[Dep Vat]],cf_purch[[IsoW Dep]:[IsoW Dep]],AG33,cf_purch[[Year Dep]:[Year Dep]],AG32)</f>
        <v>0</v>
      </c>
      <c r="AH53" s="55">
        <f>SUMIFS(cf_purch[[Dep Vat]:[Dep Vat]],cf_purch[[IsoW Dep]:[IsoW Dep]],AH33,cf_purch[[Year Dep]:[Year Dep]],AH32)</f>
        <v>0</v>
      </c>
      <c r="AI53" s="55">
        <f>SUMIFS(cf_purch[[Dep Vat]:[Dep Vat]],cf_purch[[IsoW Dep]:[IsoW Dep]],AI33,cf_purch[[Year Dep]:[Year Dep]],AI32)</f>
        <v>0</v>
      </c>
      <c r="AJ53" s="55">
        <f>SUMIFS(cf_purch[[Dep Vat]:[Dep Vat]],cf_purch[[IsoW Dep]:[IsoW Dep]],AJ33,cf_purch[[Year Dep]:[Year Dep]],AJ32)</f>
        <v>0</v>
      </c>
      <c r="AK53" s="55">
        <f>SUMIFS(cf_purch[[Dep Vat]:[Dep Vat]],cf_purch[[IsoW Dep]:[IsoW Dep]],AK33,cf_purch[[Year Dep]:[Year Dep]],AK32)</f>
        <v>0</v>
      </c>
      <c r="AL53" s="55">
        <f>SUMIFS(cf_purch[[Dep Vat]:[Dep Vat]],cf_purch[[IsoW Dep]:[IsoW Dep]],AL33,cf_purch[[Year Dep]:[Year Dep]],AL32)</f>
        <v>0</v>
      </c>
      <c r="AM53" s="55">
        <f>SUMIFS(cf_purch[[Dep Vat]:[Dep Vat]],cf_purch[[IsoW Dep]:[IsoW Dep]],AM33,cf_purch[[Year Dep]:[Year Dep]],AM32)</f>
        <v>0</v>
      </c>
      <c r="AN53" s="55">
        <f>SUMIFS(cf_purch[[Dep Vat]:[Dep Vat]],cf_purch[[IsoW Dep]:[IsoW Dep]],AN33,cf_purch[[Year Dep]:[Year Dep]],AN32)</f>
        <v>0</v>
      </c>
      <c r="AO53" s="55">
        <f>SUMIFS(cf_purch[[Dep Vat]:[Dep Vat]],cf_purch[[IsoW Dep]:[IsoW Dep]],AO33,cf_purch[[Year Dep]:[Year Dep]],AO32)</f>
        <v>0</v>
      </c>
      <c r="AP53" s="55">
        <f>SUMIFS(cf_purch[[Dep Vat]:[Dep Vat]],cf_purch[[IsoW Dep]:[IsoW Dep]],AP33,cf_purch[[Year Dep]:[Year Dep]],AP32)</f>
        <v>0</v>
      </c>
      <c r="AQ53" s="55">
        <f>SUMIFS(cf_purch[[Dep Vat]:[Dep Vat]],cf_purch[[IsoW Dep]:[IsoW Dep]],AQ33,cf_purch[[Year Dep]:[Year Dep]],AQ32)</f>
        <v>0</v>
      </c>
      <c r="AR53" s="55">
        <f>SUMIFS(cf_purch[[Dep Vat]:[Dep Vat]],cf_purch[[IsoW Dep]:[IsoW Dep]],AR33,cf_purch[[Year Dep]:[Year Dep]],AR32)</f>
        <v>0</v>
      </c>
      <c r="AS53" s="55">
        <f>SUMIFS(cf_purch[[Dep Vat]:[Dep Vat]],cf_purch[[IsoW Dep]:[IsoW Dep]],AS33,cf_purch[[Year Dep]:[Year Dep]],AS32)</f>
        <v>0</v>
      </c>
      <c r="AT53" s="55">
        <f>SUMIFS(cf_purch[[Dep Vat]:[Dep Vat]],cf_purch[[IsoW Dep]:[IsoW Dep]],AT33,cf_purch[[Year Dep]:[Year Dep]],AT32)</f>
        <v>0</v>
      </c>
      <c r="AU53" s="55">
        <f>SUMIFS(cf_purch[[Dep Vat]:[Dep Vat]],cf_purch[[IsoW Dep]:[IsoW Dep]],AU33,cf_purch[[Year Dep]:[Year Dep]],AU32)</f>
        <v>0</v>
      </c>
      <c r="AV53" s="55">
        <f>SUMIFS(cf_purch[[Dep Vat]:[Dep Vat]],cf_purch[[IsoW Dep]:[IsoW Dep]],AV33,cf_purch[[Year Dep]:[Year Dep]],AV32)</f>
        <v>0</v>
      </c>
      <c r="AW53" s="55">
        <f>SUMIFS(cf_purch[[Dep Vat]:[Dep Vat]],cf_purch[[IsoW Dep]:[IsoW Dep]],AW33,cf_purch[[Year Dep]:[Year Dep]],AW32)</f>
        <v>0</v>
      </c>
      <c r="AX53" s="55">
        <f>SUMIFS(cf_purch[[Dep Vat]:[Dep Vat]],cf_purch[[IsoW Dep]:[IsoW Dep]],AX33,cf_purch[[Year Dep]:[Year Dep]],AX32)</f>
        <v>0</v>
      </c>
      <c r="AY53" s="55">
        <f>SUMIFS(cf_purch[[Dep Vat]:[Dep Vat]],cf_purch[[IsoW Dep]:[IsoW Dep]],AY33,cf_purch[[Year Dep]:[Year Dep]],AY32)</f>
        <v>0</v>
      </c>
      <c r="AZ53" s="55">
        <f>SUMIFS(cf_purch[[Dep Vat]:[Dep Vat]],cf_purch[[IsoW Dep]:[IsoW Dep]],AZ33,cf_purch[[Year Dep]:[Year Dep]],AZ32)</f>
        <v>0</v>
      </c>
      <c r="BA53" s="55">
        <f>SUMIFS(cf_purch[[Dep Vat]:[Dep Vat]],cf_purch[[IsoW Dep]:[IsoW Dep]],BA33,cf_purch[[Year Dep]:[Year Dep]],BA32)</f>
        <v>0</v>
      </c>
      <c r="BB53" s="55">
        <f>SUMIFS(cf_purch[[Dep Vat]:[Dep Vat]],cf_purch[[IsoW Dep]:[IsoW Dep]],BB33,cf_purch[[Year Dep]:[Year Dep]],BB32)</f>
        <v>0</v>
      </c>
      <c r="BC53" s="55">
        <f>SUMIFS(cf_purch[[Dep Vat]:[Dep Vat]],cf_purch[[IsoW Dep]:[IsoW Dep]],BC33,cf_purch[[Year Dep]:[Year Dep]],BC32)</f>
        <v>0</v>
      </c>
      <c r="BD53" s="55">
        <f>SUMIFS(cf_purch[[Dep Vat]:[Dep Vat]],cf_purch[[IsoW Dep]:[IsoW Dep]],BD33,cf_purch[[Year Dep]:[Year Dep]],BD32)</f>
        <v>0</v>
      </c>
      <c r="BE53" s="55">
        <f>SUMIFS(cf_purch[[Dep Vat]:[Dep Vat]],cf_purch[[IsoW Dep]:[IsoW Dep]],BE33,cf_purch[[Year Dep]:[Year Dep]],BE32)</f>
        <v>0</v>
      </c>
      <c r="BF53" s="55">
        <f>SUMIFS(cf_purch[[Dep Vat]:[Dep Vat]],cf_purch[[IsoW Dep]:[IsoW Dep]],BF33,cf_purch[[Year Dep]:[Year Dep]],BF32)</f>
        <v>0</v>
      </c>
      <c r="BG53" s="55">
        <f>SUMIFS(cf_purch[[Dep Vat]:[Dep Vat]],cf_purch[[IsoW Dep]:[IsoW Dep]],BG33,cf_purch[[Year Dep]:[Year Dep]],BG32)</f>
        <v>0</v>
      </c>
      <c r="BH53" s="28"/>
      <c r="BI53" s="28"/>
      <c r="BJ53" s="28"/>
    </row>
    <row r="54" spans="2:62" ht="15.75" customHeight="1" x14ac:dyDescent="0.25">
      <c r="B54" s="32"/>
      <c r="C54" s="111"/>
      <c r="D54" s="54" t="s">
        <v>174</v>
      </c>
      <c r="E54" s="111"/>
      <c r="F54" s="51">
        <f>SUM(H54:BG54)</f>
        <v>375000</v>
      </c>
      <c r="G54" s="28"/>
      <c r="H54" s="56">
        <f>SUMIFS(cf_purch[[Bal VAT]:[Bal VAT]],cf_purch[[IsoW Bal]:[IsoW Bal]],H33,cf_purch[[Year Bal]:[Year Bal]],H32)</f>
        <v>0</v>
      </c>
      <c r="I54" s="56">
        <f>SUMIFS(cf_purch[[Bal VAT]:[Bal VAT]],cf_purch[[IsoW Bal]:[IsoW Bal]],I33,cf_purch[[Year Bal]:[Year Bal]],I32)</f>
        <v>0</v>
      </c>
      <c r="J54" s="56">
        <f>SUMIFS(cf_purch[[Bal VAT]:[Bal VAT]],cf_purch[[IsoW Bal]:[IsoW Bal]],J33,cf_purch[[Year Bal]:[Year Bal]],J32)</f>
        <v>0</v>
      </c>
      <c r="K54" s="56">
        <f>SUMIFS(cf_purch[[Bal VAT]:[Bal VAT]],cf_purch[[IsoW Bal]:[IsoW Bal]],K33,cf_purch[[Year Bal]:[Year Bal]],K32)</f>
        <v>0</v>
      </c>
      <c r="L54" s="56">
        <f>SUMIFS(cf_purch[[Bal VAT]:[Bal VAT]],cf_purch[[IsoW Bal]:[IsoW Bal]],L33,cf_purch[[Year Bal]:[Year Bal]],L32)</f>
        <v>0</v>
      </c>
      <c r="M54" s="56">
        <f>SUMIFS(cf_purch[[Bal VAT]:[Bal VAT]],cf_purch[[IsoW Bal]:[IsoW Bal]],M33,cf_purch[[Year Bal]:[Year Bal]],M32)</f>
        <v>0</v>
      </c>
      <c r="N54" s="56">
        <f>SUMIFS(cf_purch[[Bal VAT]:[Bal VAT]],cf_purch[[IsoW Bal]:[IsoW Bal]],N33,cf_purch[[Year Bal]:[Year Bal]],N32)</f>
        <v>0</v>
      </c>
      <c r="O54" s="56">
        <f>SUMIFS(cf_purch[[Bal VAT]:[Bal VAT]],cf_purch[[IsoW Bal]:[IsoW Bal]],O33,cf_purch[[Year Bal]:[Year Bal]],O32)</f>
        <v>0</v>
      </c>
      <c r="P54" s="56">
        <f>SUMIFS(cf_purch[[Bal VAT]:[Bal VAT]],cf_purch[[IsoW Bal]:[IsoW Bal]],P33,cf_purch[[Year Bal]:[Year Bal]],P32)</f>
        <v>375000</v>
      </c>
      <c r="Q54" s="56">
        <f>SUMIFS(cf_purch[[Bal VAT]:[Bal VAT]],cf_purch[[IsoW Bal]:[IsoW Bal]],Q33,cf_purch[[Year Bal]:[Year Bal]],Q32)</f>
        <v>0</v>
      </c>
      <c r="R54" s="56">
        <f>SUMIFS(cf_purch[[Bal VAT]:[Bal VAT]],cf_purch[[IsoW Bal]:[IsoW Bal]],R33,cf_purch[[Year Bal]:[Year Bal]],R32)</f>
        <v>0</v>
      </c>
      <c r="S54" s="56">
        <f>SUMIFS(cf_purch[[Bal VAT]:[Bal VAT]],cf_purch[[IsoW Bal]:[IsoW Bal]],S33,cf_purch[[Year Bal]:[Year Bal]],S32)</f>
        <v>0</v>
      </c>
      <c r="T54" s="56">
        <f>SUMIFS(cf_purch[[Bal VAT]:[Bal VAT]],cf_purch[[IsoW Bal]:[IsoW Bal]],T33,cf_purch[[Year Bal]:[Year Bal]],T32)</f>
        <v>0</v>
      </c>
      <c r="U54" s="56">
        <f>SUMIFS(cf_purch[[Bal VAT]:[Bal VAT]],cf_purch[[IsoW Bal]:[IsoW Bal]],U33,cf_purch[[Year Bal]:[Year Bal]],U32)</f>
        <v>0</v>
      </c>
      <c r="V54" s="56">
        <f>SUMIFS(cf_purch[[Bal VAT]:[Bal VAT]],cf_purch[[IsoW Bal]:[IsoW Bal]],V33,cf_purch[[Year Bal]:[Year Bal]],V32)</f>
        <v>0</v>
      </c>
      <c r="W54" s="56">
        <f>SUMIFS(cf_purch[[Bal VAT]:[Bal VAT]],cf_purch[[IsoW Bal]:[IsoW Bal]],W33,cf_purch[[Year Bal]:[Year Bal]],W32)</f>
        <v>0</v>
      </c>
      <c r="X54" s="56">
        <f>SUMIFS(cf_purch[[Bal VAT]:[Bal VAT]],cf_purch[[IsoW Bal]:[IsoW Bal]],X33,cf_purch[[Year Bal]:[Year Bal]],X32)</f>
        <v>0</v>
      </c>
      <c r="Y54" s="56">
        <f>SUMIFS(cf_purch[[Bal VAT]:[Bal VAT]],cf_purch[[IsoW Bal]:[IsoW Bal]],Y33,cf_purch[[Year Bal]:[Year Bal]],Y32)</f>
        <v>0</v>
      </c>
      <c r="Z54" s="56">
        <f>SUMIFS(cf_purch[[Bal VAT]:[Bal VAT]],cf_purch[[IsoW Bal]:[IsoW Bal]],Z33,cf_purch[[Year Bal]:[Year Bal]],Z32)</f>
        <v>0</v>
      </c>
      <c r="AA54" s="56">
        <f>SUMIFS(cf_purch[[Bal VAT]:[Bal VAT]],cf_purch[[IsoW Bal]:[IsoW Bal]],AA33,cf_purch[[Year Bal]:[Year Bal]],AA32)</f>
        <v>0</v>
      </c>
      <c r="AB54" s="56">
        <f>SUMIFS(cf_purch[[Bal VAT]:[Bal VAT]],cf_purch[[IsoW Bal]:[IsoW Bal]],AB33,cf_purch[[Year Bal]:[Year Bal]],AB32)</f>
        <v>0</v>
      </c>
      <c r="AC54" s="56">
        <f>SUMIFS(cf_purch[[Bal VAT]:[Bal VAT]],cf_purch[[IsoW Bal]:[IsoW Bal]],AC33,cf_purch[[Year Bal]:[Year Bal]],AC32)</f>
        <v>0</v>
      </c>
      <c r="AD54" s="56">
        <f>SUMIFS(cf_purch[[Bal VAT]:[Bal VAT]],cf_purch[[IsoW Bal]:[IsoW Bal]],AD33,cf_purch[[Year Bal]:[Year Bal]],AD32)</f>
        <v>0</v>
      </c>
      <c r="AE54" s="56">
        <f>SUMIFS(cf_purch[[Bal VAT]:[Bal VAT]],cf_purch[[IsoW Bal]:[IsoW Bal]],AE33,cf_purch[[Year Bal]:[Year Bal]],AE32)</f>
        <v>0</v>
      </c>
      <c r="AF54" s="56">
        <f>SUMIFS(cf_purch[[Bal VAT]:[Bal VAT]],cf_purch[[IsoW Bal]:[IsoW Bal]],AF33,cf_purch[[Year Bal]:[Year Bal]],AF32)</f>
        <v>0</v>
      </c>
      <c r="AG54" s="56">
        <f>SUMIFS(cf_purch[[Bal VAT]:[Bal VAT]],cf_purch[[IsoW Bal]:[IsoW Bal]],AG33,cf_purch[[Year Bal]:[Year Bal]],AG32)</f>
        <v>0</v>
      </c>
      <c r="AH54" s="56">
        <f>SUMIFS(cf_purch[[Bal VAT]:[Bal VAT]],cf_purch[[IsoW Bal]:[IsoW Bal]],AH33,cf_purch[[Year Bal]:[Year Bal]],AH32)</f>
        <v>0</v>
      </c>
      <c r="AI54" s="56">
        <f>SUMIFS(cf_purch[[Bal VAT]:[Bal VAT]],cf_purch[[IsoW Bal]:[IsoW Bal]],AI33,cf_purch[[Year Bal]:[Year Bal]],AI32)</f>
        <v>0</v>
      </c>
      <c r="AJ54" s="56">
        <f>SUMIFS(cf_purch[[Bal VAT]:[Bal VAT]],cf_purch[[IsoW Bal]:[IsoW Bal]],AJ33,cf_purch[[Year Bal]:[Year Bal]],AJ32)</f>
        <v>0</v>
      </c>
      <c r="AK54" s="56">
        <f>SUMIFS(cf_purch[[Bal VAT]:[Bal VAT]],cf_purch[[IsoW Bal]:[IsoW Bal]],AK33,cf_purch[[Year Bal]:[Year Bal]],AK32)</f>
        <v>0</v>
      </c>
      <c r="AL54" s="56">
        <f>SUMIFS(cf_purch[[Bal VAT]:[Bal VAT]],cf_purch[[IsoW Bal]:[IsoW Bal]],AL33,cf_purch[[Year Bal]:[Year Bal]],AL32)</f>
        <v>0</v>
      </c>
      <c r="AM54" s="56">
        <f>SUMIFS(cf_purch[[Bal VAT]:[Bal VAT]],cf_purch[[IsoW Bal]:[IsoW Bal]],AM33,cf_purch[[Year Bal]:[Year Bal]],AM32)</f>
        <v>0</v>
      </c>
      <c r="AN54" s="56">
        <f>SUMIFS(cf_purch[[Bal VAT]:[Bal VAT]],cf_purch[[IsoW Bal]:[IsoW Bal]],AN33,cf_purch[[Year Bal]:[Year Bal]],AN32)</f>
        <v>0</v>
      </c>
      <c r="AO54" s="56">
        <f>SUMIFS(cf_purch[[Bal VAT]:[Bal VAT]],cf_purch[[IsoW Bal]:[IsoW Bal]],AO33,cf_purch[[Year Bal]:[Year Bal]],AO32)</f>
        <v>0</v>
      </c>
      <c r="AP54" s="56">
        <f>SUMIFS(cf_purch[[Bal VAT]:[Bal VAT]],cf_purch[[IsoW Bal]:[IsoW Bal]],AP33,cf_purch[[Year Bal]:[Year Bal]],AP32)</f>
        <v>0</v>
      </c>
      <c r="AQ54" s="56">
        <f>SUMIFS(cf_purch[[Bal VAT]:[Bal VAT]],cf_purch[[IsoW Bal]:[IsoW Bal]],AQ33,cf_purch[[Year Bal]:[Year Bal]],AQ32)</f>
        <v>0</v>
      </c>
      <c r="AR54" s="56">
        <f>SUMIFS(cf_purch[[Bal VAT]:[Bal VAT]],cf_purch[[IsoW Bal]:[IsoW Bal]],AR33,cf_purch[[Year Bal]:[Year Bal]],AR32)</f>
        <v>0</v>
      </c>
      <c r="AS54" s="56">
        <f>SUMIFS(cf_purch[[Bal VAT]:[Bal VAT]],cf_purch[[IsoW Bal]:[IsoW Bal]],AS33,cf_purch[[Year Bal]:[Year Bal]],AS32)</f>
        <v>0</v>
      </c>
      <c r="AT54" s="56">
        <f>SUMIFS(cf_purch[[Bal VAT]:[Bal VAT]],cf_purch[[IsoW Bal]:[IsoW Bal]],AT33,cf_purch[[Year Bal]:[Year Bal]],AT32)</f>
        <v>0</v>
      </c>
      <c r="AU54" s="56">
        <f>SUMIFS(cf_purch[[Bal VAT]:[Bal VAT]],cf_purch[[IsoW Bal]:[IsoW Bal]],AU33,cf_purch[[Year Bal]:[Year Bal]],AU32)</f>
        <v>0</v>
      </c>
      <c r="AV54" s="56">
        <f>SUMIFS(cf_purch[[Bal VAT]:[Bal VAT]],cf_purch[[IsoW Bal]:[IsoW Bal]],AV33,cf_purch[[Year Bal]:[Year Bal]],AV32)</f>
        <v>0</v>
      </c>
      <c r="AW54" s="56">
        <f>SUMIFS(cf_purch[[Bal VAT]:[Bal VAT]],cf_purch[[IsoW Bal]:[IsoW Bal]],AW33,cf_purch[[Year Bal]:[Year Bal]],AW32)</f>
        <v>0</v>
      </c>
      <c r="AX54" s="56">
        <f>SUMIFS(cf_purch[[Bal VAT]:[Bal VAT]],cf_purch[[IsoW Bal]:[IsoW Bal]],AX33,cf_purch[[Year Bal]:[Year Bal]],AX32)</f>
        <v>0</v>
      </c>
      <c r="AY54" s="56">
        <f>SUMIFS(cf_purch[[Bal VAT]:[Bal VAT]],cf_purch[[IsoW Bal]:[IsoW Bal]],AY33,cf_purch[[Year Bal]:[Year Bal]],AY32)</f>
        <v>0</v>
      </c>
      <c r="AZ54" s="56">
        <f>SUMIFS(cf_purch[[Bal VAT]:[Bal VAT]],cf_purch[[IsoW Bal]:[IsoW Bal]],AZ33,cf_purch[[Year Bal]:[Year Bal]],AZ32)</f>
        <v>0</v>
      </c>
      <c r="BA54" s="56">
        <f>SUMIFS(cf_purch[[Bal VAT]:[Bal VAT]],cf_purch[[IsoW Bal]:[IsoW Bal]],BA33,cf_purch[[Year Bal]:[Year Bal]],BA32)</f>
        <v>0</v>
      </c>
      <c r="BB54" s="56">
        <f>SUMIFS(cf_purch[[Bal VAT]:[Bal VAT]],cf_purch[[IsoW Bal]:[IsoW Bal]],BB33,cf_purch[[Year Bal]:[Year Bal]],BB32)</f>
        <v>0</v>
      </c>
      <c r="BC54" s="56">
        <f>SUMIFS(cf_purch[[Bal VAT]:[Bal VAT]],cf_purch[[IsoW Bal]:[IsoW Bal]],BC33,cf_purch[[Year Bal]:[Year Bal]],BC32)</f>
        <v>0</v>
      </c>
      <c r="BD54" s="56">
        <f>SUMIFS(cf_purch[[Bal VAT]:[Bal VAT]],cf_purch[[IsoW Bal]:[IsoW Bal]],BD33,cf_purch[[Year Bal]:[Year Bal]],BD32)</f>
        <v>0</v>
      </c>
      <c r="BE54" s="56">
        <f>SUMIFS(cf_purch[[Bal VAT]:[Bal VAT]],cf_purch[[IsoW Bal]:[IsoW Bal]],BE33,cf_purch[[Year Bal]:[Year Bal]],BE32)</f>
        <v>0</v>
      </c>
      <c r="BF54" s="56">
        <f>SUMIFS(cf_purch[[Bal VAT]:[Bal VAT]],cf_purch[[IsoW Bal]:[IsoW Bal]],BF33,cf_purch[[Year Bal]:[Year Bal]],BF32)</f>
        <v>0</v>
      </c>
      <c r="BG54" s="56">
        <f>SUMIFS(cf_purch[[Bal VAT]:[Bal VAT]],cf_purch[[IsoW Bal]:[IsoW Bal]],BG33,cf_purch[[Year Bal]:[Year Bal]],BG32)</f>
        <v>0</v>
      </c>
      <c r="BH54" s="28"/>
      <c r="BI54" s="28"/>
      <c r="BJ54" s="28"/>
    </row>
    <row r="55" spans="2:62" ht="15.75" customHeight="1" x14ac:dyDescent="0.25">
      <c r="B55" s="32"/>
      <c r="C55" s="111"/>
      <c r="D55" s="54" t="s">
        <v>163</v>
      </c>
      <c r="E55" s="111"/>
      <c r="F55" s="51">
        <f>SUM(H55:BG55)</f>
        <v>0</v>
      </c>
      <c r="G55" s="28"/>
      <c r="H55" s="55">
        <f>SUMIFS(cf_purch[[VAT Dep]:[VAT Dep]],cf_purch[[ISOw DEP Vat]:[ISOw DEP Vat]],H33,cf_purch[[Year Dep Vat]:[Year Dep Vat]],H32)*-1</f>
        <v>0</v>
      </c>
      <c r="I55" s="55">
        <f>SUMIFS(cf_purch[[VAT Dep]:[VAT Dep]],cf_purch[[ISOw DEP Vat]:[ISOw DEP Vat]],I33,cf_purch[[Year Dep Vat]:[Year Dep Vat]],I32)*-1</f>
        <v>0</v>
      </c>
      <c r="J55" s="55">
        <f>SUMIFS(cf_purch[[VAT Dep]:[VAT Dep]],cf_purch[[ISOw DEP Vat]:[ISOw DEP Vat]],J33,cf_purch[[Year Dep Vat]:[Year Dep Vat]],J32)*-1</f>
        <v>0</v>
      </c>
      <c r="K55" s="55">
        <f>SUMIFS(cf_purch[[VAT Dep]:[VAT Dep]],cf_purch[[ISOw DEP Vat]:[ISOw DEP Vat]],K33,cf_purch[[Year Dep Vat]:[Year Dep Vat]],K32)*-1</f>
        <v>0</v>
      </c>
      <c r="L55" s="55">
        <f>SUMIFS(cf_purch[[VAT Dep]:[VAT Dep]],cf_purch[[ISOw DEP Vat]:[ISOw DEP Vat]],L33,cf_purch[[Year Dep Vat]:[Year Dep Vat]],L32)*-1</f>
        <v>0</v>
      </c>
      <c r="M55" s="55">
        <f>SUMIFS(cf_purch[[VAT Dep]:[VAT Dep]],cf_purch[[ISOw DEP Vat]:[ISOw DEP Vat]],M33,cf_purch[[Year Dep Vat]:[Year Dep Vat]],M32)*-1</f>
        <v>0</v>
      </c>
      <c r="N55" s="55">
        <f>SUMIFS(cf_purch[[VAT Dep]:[VAT Dep]],cf_purch[[ISOw DEP Vat]:[ISOw DEP Vat]],N33,cf_purch[[Year Dep Vat]:[Year Dep Vat]],N32)*-1</f>
        <v>0</v>
      </c>
      <c r="O55" s="55">
        <f>SUMIFS(cf_purch[[VAT Dep]:[VAT Dep]],cf_purch[[ISOw DEP Vat]:[ISOw DEP Vat]],O33,cf_purch[[Year Dep Vat]:[Year Dep Vat]],O32)*-1</f>
        <v>0</v>
      </c>
      <c r="P55" s="55">
        <f>SUMIFS(cf_purch[[VAT Dep]:[VAT Dep]],cf_purch[[ISOw DEP Vat]:[ISOw DEP Vat]],P33,cf_purch[[Year Dep Vat]:[Year Dep Vat]],P32)*-1</f>
        <v>0</v>
      </c>
      <c r="Q55" s="55">
        <f>SUMIFS(cf_purch[[VAT Dep]:[VAT Dep]],cf_purch[[ISOw DEP Vat]:[ISOw DEP Vat]],Q33,cf_purch[[Year Dep Vat]:[Year Dep Vat]],Q32)*-1</f>
        <v>0</v>
      </c>
      <c r="R55" s="55">
        <f>SUMIFS(cf_purch[[VAT Dep]:[VAT Dep]],cf_purch[[ISOw DEP Vat]:[ISOw DEP Vat]],R33,cf_purch[[Year Dep Vat]:[Year Dep Vat]],R32)*-1</f>
        <v>0</v>
      </c>
      <c r="S55" s="55">
        <f>SUMIFS(cf_purch[[VAT Dep]:[VAT Dep]],cf_purch[[ISOw DEP Vat]:[ISOw DEP Vat]],S33,cf_purch[[Year Dep Vat]:[Year Dep Vat]],S32)*-1</f>
        <v>0</v>
      </c>
      <c r="T55" s="55">
        <f>SUMIFS(cf_purch[[VAT Dep]:[VAT Dep]],cf_purch[[ISOw DEP Vat]:[ISOw DEP Vat]],T33,cf_purch[[Year Dep Vat]:[Year Dep Vat]],T32)*-1</f>
        <v>0</v>
      </c>
      <c r="U55" s="55">
        <f>SUMIFS(cf_purch[[VAT Dep]:[VAT Dep]],cf_purch[[ISOw DEP Vat]:[ISOw DEP Vat]],U33,cf_purch[[Year Dep Vat]:[Year Dep Vat]],U32)*-1</f>
        <v>0</v>
      </c>
      <c r="V55" s="55">
        <f>SUMIFS(cf_purch[[VAT Dep]:[VAT Dep]],cf_purch[[ISOw DEP Vat]:[ISOw DEP Vat]],V33,cf_purch[[Year Dep Vat]:[Year Dep Vat]],V32)*-1</f>
        <v>0</v>
      </c>
      <c r="W55" s="55">
        <f>SUMIFS(cf_purch[[VAT Dep]:[VAT Dep]],cf_purch[[ISOw DEP Vat]:[ISOw DEP Vat]],W33,cf_purch[[Year Dep Vat]:[Year Dep Vat]],W32)*-1</f>
        <v>0</v>
      </c>
      <c r="X55" s="55">
        <f>SUMIFS(cf_purch[[VAT Dep]:[VAT Dep]],cf_purch[[ISOw DEP Vat]:[ISOw DEP Vat]],X33,cf_purch[[Year Dep Vat]:[Year Dep Vat]],X32)*-1</f>
        <v>0</v>
      </c>
      <c r="Y55" s="55">
        <f>SUMIFS(cf_purch[[VAT Dep]:[VAT Dep]],cf_purch[[ISOw DEP Vat]:[ISOw DEP Vat]],Y33,cf_purch[[Year Dep Vat]:[Year Dep Vat]],Y32)*-1</f>
        <v>0</v>
      </c>
      <c r="Z55" s="55">
        <f>SUMIFS(cf_purch[[VAT Dep]:[VAT Dep]],cf_purch[[ISOw DEP Vat]:[ISOw DEP Vat]],Z33,cf_purch[[Year Dep Vat]:[Year Dep Vat]],Z32)*-1</f>
        <v>0</v>
      </c>
      <c r="AA55" s="55">
        <f>SUMIFS(cf_purch[[VAT Dep]:[VAT Dep]],cf_purch[[ISOw DEP Vat]:[ISOw DEP Vat]],AA33,cf_purch[[Year Dep Vat]:[Year Dep Vat]],AA32)*-1</f>
        <v>0</v>
      </c>
      <c r="AB55" s="55">
        <f>SUMIFS(cf_purch[[VAT Dep]:[VAT Dep]],cf_purch[[ISOw DEP Vat]:[ISOw DEP Vat]],AB33,cf_purch[[Year Dep Vat]:[Year Dep Vat]],AB32)*-1</f>
        <v>0</v>
      </c>
      <c r="AC55" s="55">
        <f>SUMIFS(cf_purch[[VAT Dep]:[VAT Dep]],cf_purch[[ISOw DEP Vat]:[ISOw DEP Vat]],AC33,cf_purch[[Year Dep Vat]:[Year Dep Vat]],AC32)*-1</f>
        <v>0</v>
      </c>
      <c r="AD55" s="55">
        <f>SUMIFS(cf_purch[[VAT Dep]:[VAT Dep]],cf_purch[[ISOw DEP Vat]:[ISOw DEP Vat]],AD33,cf_purch[[Year Dep Vat]:[Year Dep Vat]],AD32)*-1</f>
        <v>0</v>
      </c>
      <c r="AE55" s="55">
        <f>SUMIFS(cf_purch[[VAT Dep]:[VAT Dep]],cf_purch[[ISOw DEP Vat]:[ISOw DEP Vat]],AE33,cf_purch[[Year Dep Vat]:[Year Dep Vat]],AE32)*-1</f>
        <v>0</v>
      </c>
      <c r="AF55" s="55">
        <f>SUMIFS(cf_purch[[VAT Dep]:[VAT Dep]],cf_purch[[ISOw DEP Vat]:[ISOw DEP Vat]],AF33,cf_purch[[Year Dep Vat]:[Year Dep Vat]],AF32)*-1</f>
        <v>0</v>
      </c>
      <c r="AG55" s="55">
        <f>SUMIFS(cf_purch[[VAT Dep]:[VAT Dep]],cf_purch[[ISOw DEP Vat]:[ISOw DEP Vat]],AG33,cf_purch[[Year Dep Vat]:[Year Dep Vat]],AG32)*-1</f>
        <v>0</v>
      </c>
      <c r="AH55" s="55">
        <f>SUMIFS(cf_purch[[VAT Dep]:[VAT Dep]],cf_purch[[ISOw DEP Vat]:[ISOw DEP Vat]],AH33,cf_purch[[Year Dep Vat]:[Year Dep Vat]],AH32)*-1</f>
        <v>0</v>
      </c>
      <c r="AI55" s="55">
        <f>SUMIFS(cf_purch[[VAT Dep]:[VAT Dep]],cf_purch[[ISOw DEP Vat]:[ISOw DEP Vat]],AI33,cf_purch[[Year Dep Vat]:[Year Dep Vat]],AI32)*-1</f>
        <v>0</v>
      </c>
      <c r="AJ55" s="55">
        <f>SUMIFS(cf_purch[[VAT Dep]:[VAT Dep]],cf_purch[[ISOw DEP Vat]:[ISOw DEP Vat]],AJ33,cf_purch[[Year Dep Vat]:[Year Dep Vat]],AJ32)*-1</f>
        <v>0</v>
      </c>
      <c r="AK55" s="55">
        <f>SUMIFS(cf_purch[[VAT Dep]:[VAT Dep]],cf_purch[[ISOw DEP Vat]:[ISOw DEP Vat]],AK33,cf_purch[[Year Dep Vat]:[Year Dep Vat]],AK32)*-1</f>
        <v>0</v>
      </c>
      <c r="AL55" s="55">
        <f>SUMIFS(cf_purch[[VAT Dep]:[VAT Dep]],cf_purch[[ISOw DEP Vat]:[ISOw DEP Vat]],AL33,cf_purch[[Year Dep Vat]:[Year Dep Vat]],AL32)*-1</f>
        <v>0</v>
      </c>
      <c r="AM55" s="55">
        <f>SUMIFS(cf_purch[[VAT Dep]:[VAT Dep]],cf_purch[[ISOw DEP Vat]:[ISOw DEP Vat]],AM33,cf_purch[[Year Dep Vat]:[Year Dep Vat]],AM32)*-1</f>
        <v>0</v>
      </c>
      <c r="AN55" s="55">
        <f>SUMIFS(cf_purch[[VAT Dep]:[VAT Dep]],cf_purch[[ISOw DEP Vat]:[ISOw DEP Vat]],AN33,cf_purch[[Year Dep Vat]:[Year Dep Vat]],AN32)*-1</f>
        <v>0</v>
      </c>
      <c r="AO55" s="55">
        <f>SUMIFS(cf_purch[[VAT Dep]:[VAT Dep]],cf_purch[[ISOw DEP Vat]:[ISOw DEP Vat]],AO33,cf_purch[[Year Dep Vat]:[Year Dep Vat]],AO32)*-1</f>
        <v>0</v>
      </c>
      <c r="AP55" s="55">
        <f>SUMIFS(cf_purch[[VAT Dep]:[VAT Dep]],cf_purch[[ISOw DEP Vat]:[ISOw DEP Vat]],AP33,cf_purch[[Year Dep Vat]:[Year Dep Vat]],AP32)*-1</f>
        <v>0</v>
      </c>
      <c r="AQ55" s="55">
        <f>SUMIFS(cf_purch[[VAT Dep]:[VAT Dep]],cf_purch[[ISOw DEP Vat]:[ISOw DEP Vat]],AQ33,cf_purch[[Year Dep Vat]:[Year Dep Vat]],AQ32)*-1</f>
        <v>0</v>
      </c>
      <c r="AR55" s="55">
        <f>SUMIFS(cf_purch[[VAT Dep]:[VAT Dep]],cf_purch[[ISOw DEP Vat]:[ISOw DEP Vat]],AR33,cf_purch[[Year Dep Vat]:[Year Dep Vat]],AR32)*-1</f>
        <v>0</v>
      </c>
      <c r="AS55" s="55">
        <f>SUMIFS(cf_purch[[VAT Dep]:[VAT Dep]],cf_purch[[ISOw DEP Vat]:[ISOw DEP Vat]],AS33,cf_purch[[Year Dep Vat]:[Year Dep Vat]],AS32)*-1</f>
        <v>0</v>
      </c>
      <c r="AT55" s="55">
        <f>SUMIFS(cf_purch[[VAT Dep]:[VAT Dep]],cf_purch[[ISOw DEP Vat]:[ISOw DEP Vat]],AT33,cf_purch[[Year Dep Vat]:[Year Dep Vat]],AT32)*-1</f>
        <v>0</v>
      </c>
      <c r="AU55" s="55">
        <f>SUMIFS(cf_purch[[VAT Dep]:[VAT Dep]],cf_purch[[ISOw DEP Vat]:[ISOw DEP Vat]],AU33,cf_purch[[Year Dep Vat]:[Year Dep Vat]],AU32)*-1</f>
        <v>0</v>
      </c>
      <c r="AV55" s="55">
        <f>SUMIFS(cf_purch[[VAT Dep]:[VAT Dep]],cf_purch[[ISOw DEP Vat]:[ISOw DEP Vat]],AV33,cf_purch[[Year Dep Vat]:[Year Dep Vat]],AV32)*-1</f>
        <v>0</v>
      </c>
      <c r="AW55" s="55">
        <f>SUMIFS(cf_purch[[VAT Dep]:[VAT Dep]],cf_purch[[ISOw DEP Vat]:[ISOw DEP Vat]],AW33,cf_purch[[Year Dep Vat]:[Year Dep Vat]],AW32)*-1</f>
        <v>0</v>
      </c>
      <c r="AX55" s="55">
        <f>SUMIFS(cf_purch[[VAT Dep]:[VAT Dep]],cf_purch[[ISOw DEP Vat]:[ISOw DEP Vat]],AX33,cf_purch[[Year Dep Vat]:[Year Dep Vat]],AX32)*-1</f>
        <v>0</v>
      </c>
      <c r="AY55" s="55">
        <f>SUMIFS(cf_purch[[VAT Dep]:[VAT Dep]],cf_purch[[ISOw DEP Vat]:[ISOw DEP Vat]],AY33,cf_purch[[Year Dep Vat]:[Year Dep Vat]],AY32)*-1</f>
        <v>0</v>
      </c>
      <c r="AZ55" s="55">
        <f>SUMIFS(cf_purch[[VAT Dep]:[VAT Dep]],cf_purch[[ISOw DEP Vat]:[ISOw DEP Vat]],AZ33,cf_purch[[Year Dep Vat]:[Year Dep Vat]],AZ32)*-1</f>
        <v>0</v>
      </c>
      <c r="BA55" s="55">
        <f>SUMIFS(cf_purch[[VAT Dep]:[VAT Dep]],cf_purch[[ISOw DEP Vat]:[ISOw DEP Vat]],BA33,cf_purch[[Year Dep Vat]:[Year Dep Vat]],BA32)*-1</f>
        <v>0</v>
      </c>
      <c r="BB55" s="55">
        <f>SUMIFS(cf_purch[[VAT Dep]:[VAT Dep]],cf_purch[[ISOw DEP Vat]:[ISOw DEP Vat]],BB33,cf_purch[[Year Dep Vat]:[Year Dep Vat]],BB32)*-1</f>
        <v>0</v>
      </c>
      <c r="BC55" s="55">
        <f>SUMIFS(cf_purch[[VAT Dep]:[VAT Dep]],cf_purch[[ISOw DEP Vat]:[ISOw DEP Vat]],BC33,cf_purch[[Year Dep Vat]:[Year Dep Vat]],BC32)*-1</f>
        <v>0</v>
      </c>
      <c r="BD55" s="55">
        <f>SUMIFS(cf_purch[[VAT Dep]:[VAT Dep]],cf_purch[[ISOw DEP Vat]:[ISOw DEP Vat]],BD33,cf_purch[[Year Dep Vat]:[Year Dep Vat]],BD32)*-1</f>
        <v>0</v>
      </c>
      <c r="BE55" s="55">
        <f>SUMIFS(cf_purch[[VAT Dep]:[VAT Dep]],cf_purch[[ISOw DEP Vat]:[ISOw DEP Vat]],BE33,cf_purch[[Year Dep Vat]:[Year Dep Vat]],BE32)*-1</f>
        <v>0</v>
      </c>
      <c r="BF55" s="55">
        <f>SUMIFS(cf_purch[[VAT Dep]:[VAT Dep]],cf_purch[[ISOw DEP Vat]:[ISOw DEP Vat]],BF33,cf_purch[[Year Dep Vat]:[Year Dep Vat]],BF32)*-1</f>
        <v>0</v>
      </c>
      <c r="BG55" s="55">
        <f>SUMIFS(cf_purch[[VAT Dep]:[VAT Dep]],cf_purch[[ISOw DEP Vat]:[ISOw DEP Vat]],BG33,cf_purch[[Year Dep Vat]:[Year Dep Vat]],BG32)*-1</f>
        <v>0</v>
      </c>
      <c r="BH55" s="28"/>
      <c r="BI55" s="111"/>
      <c r="BJ55" s="111"/>
    </row>
    <row r="56" spans="2:62" ht="15.75" customHeight="1" x14ac:dyDescent="0.25">
      <c r="B56" s="32"/>
      <c r="C56" s="111"/>
      <c r="D56" s="54" t="s">
        <v>176</v>
      </c>
      <c r="E56" s="111"/>
      <c r="F56" s="51">
        <f>SUM(H56:BG56)</f>
        <v>0</v>
      </c>
      <c r="G56" s="28"/>
      <c r="H56" s="56">
        <f>SUMIFS(cf_purch[[VAT Bal ]:[VAT Bal ]],cf_purch[[ISOw Bal Vat]:[ISOw Bal Vat]],H33,cf_purch[[Year Bal Vat]:[Year Bal Vat]],H32)*-1</f>
        <v>0</v>
      </c>
      <c r="I56" s="56">
        <f>SUMIFS(cf_purch[[VAT Bal ]:[VAT Bal ]],cf_purch[[ISOw Bal Vat]:[ISOw Bal Vat]],I33,cf_purch[[Year Bal Vat]:[Year Bal Vat]],I32)*-1</f>
        <v>0</v>
      </c>
      <c r="J56" s="56">
        <f>SUMIFS(cf_purch[[VAT Bal ]:[VAT Bal ]],cf_purch[[ISOw Bal Vat]:[ISOw Bal Vat]],J33,cf_purch[[Year Bal Vat]:[Year Bal Vat]],J32)*-1</f>
        <v>0</v>
      </c>
      <c r="K56" s="56">
        <f>SUMIFS(cf_purch[[VAT Bal ]:[VAT Bal ]],cf_purch[[ISOw Bal Vat]:[ISOw Bal Vat]],K33,cf_purch[[Year Bal Vat]:[Year Bal Vat]],K32)*-1</f>
        <v>0</v>
      </c>
      <c r="L56" s="56">
        <f>SUMIFS(cf_purch[[VAT Bal ]:[VAT Bal ]],cf_purch[[ISOw Bal Vat]:[ISOw Bal Vat]],L33,cf_purch[[Year Bal Vat]:[Year Bal Vat]],L32)*-1</f>
        <v>0</v>
      </c>
      <c r="M56" s="56">
        <f>SUMIFS(cf_purch[[VAT Bal ]:[VAT Bal ]],cf_purch[[ISOw Bal Vat]:[ISOw Bal Vat]],M33,cf_purch[[Year Bal Vat]:[Year Bal Vat]],M32)*-1</f>
        <v>0</v>
      </c>
      <c r="N56" s="56">
        <f>SUMIFS(cf_purch[[VAT Bal ]:[VAT Bal ]],cf_purch[[ISOw Bal Vat]:[ISOw Bal Vat]],N33,cf_purch[[Year Bal Vat]:[Year Bal Vat]],N32)*-1</f>
        <v>0</v>
      </c>
      <c r="O56" s="56">
        <f>SUMIFS(cf_purch[[VAT Bal ]:[VAT Bal ]],cf_purch[[ISOw Bal Vat]:[ISOw Bal Vat]],O33,cf_purch[[Year Bal Vat]:[Year Bal Vat]],O32)*-1</f>
        <v>0</v>
      </c>
      <c r="P56" s="56">
        <f>SUMIFS(cf_purch[[VAT Bal ]:[VAT Bal ]],cf_purch[[ISOw Bal Vat]:[ISOw Bal Vat]],P33,cf_purch[[Year Bal Vat]:[Year Bal Vat]],P32)*-1</f>
        <v>0</v>
      </c>
      <c r="Q56" s="56">
        <f>SUMIFS(cf_purch[[VAT Bal ]:[VAT Bal ]],cf_purch[[ISOw Bal Vat]:[ISOw Bal Vat]],Q33,cf_purch[[Year Bal Vat]:[Year Bal Vat]],Q32)*-1</f>
        <v>0</v>
      </c>
      <c r="R56" s="56">
        <f>SUMIFS(cf_purch[[VAT Bal ]:[VAT Bal ]],cf_purch[[ISOw Bal Vat]:[ISOw Bal Vat]],R33,cf_purch[[Year Bal Vat]:[Year Bal Vat]],R32)*-1</f>
        <v>0</v>
      </c>
      <c r="S56" s="56">
        <f>SUMIFS(cf_purch[[VAT Bal ]:[VAT Bal ]],cf_purch[[ISOw Bal Vat]:[ISOw Bal Vat]],S33,cf_purch[[Year Bal Vat]:[Year Bal Vat]],S32)*-1</f>
        <v>0</v>
      </c>
      <c r="T56" s="56">
        <f>SUMIFS(cf_purch[[VAT Bal ]:[VAT Bal ]],cf_purch[[ISOw Bal Vat]:[ISOw Bal Vat]],T33,cf_purch[[Year Bal Vat]:[Year Bal Vat]],T32)*-1</f>
        <v>0</v>
      </c>
      <c r="U56" s="56">
        <f>SUMIFS(cf_purch[[VAT Bal ]:[VAT Bal ]],cf_purch[[ISOw Bal Vat]:[ISOw Bal Vat]],U33,cf_purch[[Year Bal Vat]:[Year Bal Vat]],U32)*-1</f>
        <v>0</v>
      </c>
      <c r="V56" s="56">
        <f>SUMIFS(cf_purch[[VAT Bal ]:[VAT Bal ]],cf_purch[[ISOw Bal Vat]:[ISOw Bal Vat]],V33,cf_purch[[Year Bal Vat]:[Year Bal Vat]],V32)*-1</f>
        <v>0</v>
      </c>
      <c r="W56" s="56">
        <f>SUMIFS(cf_purch[[VAT Bal ]:[VAT Bal ]],cf_purch[[ISOw Bal Vat]:[ISOw Bal Vat]],W33,cf_purch[[Year Bal Vat]:[Year Bal Vat]],W32)*-1</f>
        <v>0</v>
      </c>
      <c r="X56" s="56">
        <f>SUMIFS(cf_purch[[VAT Bal ]:[VAT Bal ]],cf_purch[[ISOw Bal Vat]:[ISOw Bal Vat]],X33,cf_purch[[Year Bal Vat]:[Year Bal Vat]],X32)*-1</f>
        <v>0</v>
      </c>
      <c r="Y56" s="56">
        <f>SUMIFS(cf_purch[[VAT Bal ]:[VAT Bal ]],cf_purch[[ISOw Bal Vat]:[ISOw Bal Vat]],Y33,cf_purch[[Year Bal Vat]:[Year Bal Vat]],Y32)*-1</f>
        <v>0</v>
      </c>
      <c r="Z56" s="56">
        <f>SUMIFS(cf_purch[[VAT Bal ]:[VAT Bal ]],cf_purch[[ISOw Bal Vat]:[ISOw Bal Vat]],Z33,cf_purch[[Year Bal Vat]:[Year Bal Vat]],Z32)*-1</f>
        <v>0</v>
      </c>
      <c r="AA56" s="56">
        <f>SUMIFS(cf_purch[[VAT Bal ]:[VAT Bal ]],cf_purch[[ISOw Bal Vat]:[ISOw Bal Vat]],AA33,cf_purch[[Year Bal Vat]:[Year Bal Vat]],AA32)*-1</f>
        <v>0</v>
      </c>
      <c r="AB56" s="56">
        <f>SUMIFS(cf_purch[[VAT Bal ]:[VAT Bal ]],cf_purch[[ISOw Bal Vat]:[ISOw Bal Vat]],AB33,cf_purch[[Year Bal Vat]:[Year Bal Vat]],AB32)*-1</f>
        <v>0</v>
      </c>
      <c r="AC56" s="56">
        <f>SUMIFS(cf_purch[[VAT Bal ]:[VAT Bal ]],cf_purch[[ISOw Bal Vat]:[ISOw Bal Vat]],AC33,cf_purch[[Year Bal Vat]:[Year Bal Vat]],AC32)*-1</f>
        <v>0</v>
      </c>
      <c r="AD56" s="56">
        <f>SUMIFS(cf_purch[[VAT Bal ]:[VAT Bal ]],cf_purch[[ISOw Bal Vat]:[ISOw Bal Vat]],AD33,cf_purch[[Year Bal Vat]:[Year Bal Vat]],AD32)*-1</f>
        <v>0</v>
      </c>
      <c r="AE56" s="56">
        <f>SUMIFS(cf_purch[[VAT Bal ]:[VAT Bal ]],cf_purch[[ISOw Bal Vat]:[ISOw Bal Vat]],AE33,cf_purch[[Year Bal Vat]:[Year Bal Vat]],AE32)*-1</f>
        <v>0</v>
      </c>
      <c r="AF56" s="56">
        <f>SUMIFS(cf_purch[[VAT Bal ]:[VAT Bal ]],cf_purch[[ISOw Bal Vat]:[ISOw Bal Vat]],AF33,cf_purch[[Year Bal Vat]:[Year Bal Vat]],AF32)*-1</f>
        <v>0</v>
      </c>
      <c r="AG56" s="56">
        <f>SUMIFS(cf_purch[[VAT Bal ]:[VAT Bal ]],cf_purch[[ISOw Bal Vat]:[ISOw Bal Vat]],AG33,cf_purch[[Year Bal Vat]:[Year Bal Vat]],AG32)*-1</f>
        <v>0</v>
      </c>
      <c r="AH56" s="56">
        <f>SUMIFS(cf_purch[[VAT Bal ]:[VAT Bal ]],cf_purch[[ISOw Bal Vat]:[ISOw Bal Vat]],AH33,cf_purch[[Year Bal Vat]:[Year Bal Vat]],AH32)*-1</f>
        <v>0</v>
      </c>
      <c r="AI56" s="56">
        <f>SUMIFS(cf_purch[[VAT Bal ]:[VAT Bal ]],cf_purch[[ISOw Bal Vat]:[ISOw Bal Vat]],AI33,cf_purch[[Year Bal Vat]:[Year Bal Vat]],AI32)*-1</f>
        <v>0</v>
      </c>
      <c r="AJ56" s="56">
        <f>SUMIFS(cf_purch[[VAT Bal ]:[VAT Bal ]],cf_purch[[ISOw Bal Vat]:[ISOw Bal Vat]],AJ33,cf_purch[[Year Bal Vat]:[Year Bal Vat]],AJ32)*-1</f>
        <v>0</v>
      </c>
      <c r="AK56" s="56">
        <f>SUMIFS(cf_purch[[VAT Bal ]:[VAT Bal ]],cf_purch[[ISOw Bal Vat]:[ISOw Bal Vat]],AK33,cf_purch[[Year Bal Vat]:[Year Bal Vat]],AK32)*-1</f>
        <v>0</v>
      </c>
      <c r="AL56" s="56">
        <f>SUMIFS(cf_purch[[VAT Bal ]:[VAT Bal ]],cf_purch[[ISOw Bal Vat]:[ISOw Bal Vat]],AL33,cf_purch[[Year Bal Vat]:[Year Bal Vat]],AL32)*-1</f>
        <v>0</v>
      </c>
      <c r="AM56" s="56">
        <f>SUMIFS(cf_purch[[VAT Bal ]:[VAT Bal ]],cf_purch[[ISOw Bal Vat]:[ISOw Bal Vat]],AM33,cf_purch[[Year Bal Vat]:[Year Bal Vat]],AM32)*-1</f>
        <v>0</v>
      </c>
      <c r="AN56" s="56">
        <f>SUMIFS(cf_purch[[VAT Bal ]:[VAT Bal ]],cf_purch[[ISOw Bal Vat]:[ISOw Bal Vat]],AN33,cf_purch[[Year Bal Vat]:[Year Bal Vat]],AN32)*-1</f>
        <v>0</v>
      </c>
      <c r="AO56" s="56">
        <f>SUMIFS(cf_purch[[VAT Bal ]:[VAT Bal ]],cf_purch[[ISOw Bal Vat]:[ISOw Bal Vat]],AO33,cf_purch[[Year Bal Vat]:[Year Bal Vat]],AO32)*-1</f>
        <v>0</v>
      </c>
      <c r="AP56" s="56">
        <f>SUMIFS(cf_purch[[VAT Bal ]:[VAT Bal ]],cf_purch[[ISOw Bal Vat]:[ISOw Bal Vat]],AP33,cf_purch[[Year Bal Vat]:[Year Bal Vat]],AP32)*-1</f>
        <v>0</v>
      </c>
      <c r="AQ56" s="56">
        <f>SUMIFS(cf_purch[[VAT Bal ]:[VAT Bal ]],cf_purch[[ISOw Bal Vat]:[ISOw Bal Vat]],AQ33,cf_purch[[Year Bal Vat]:[Year Bal Vat]],AQ32)*-1</f>
        <v>0</v>
      </c>
      <c r="AR56" s="56">
        <f>SUMIFS(cf_purch[[VAT Bal ]:[VAT Bal ]],cf_purch[[ISOw Bal Vat]:[ISOw Bal Vat]],AR33,cf_purch[[Year Bal Vat]:[Year Bal Vat]],AR32)*-1</f>
        <v>0</v>
      </c>
      <c r="AS56" s="56">
        <f>SUMIFS(cf_purch[[VAT Bal ]:[VAT Bal ]],cf_purch[[ISOw Bal Vat]:[ISOw Bal Vat]],AS33,cf_purch[[Year Bal Vat]:[Year Bal Vat]],AS32)*-1</f>
        <v>0</v>
      </c>
      <c r="AT56" s="56">
        <f>SUMIFS(cf_purch[[VAT Bal ]:[VAT Bal ]],cf_purch[[ISOw Bal Vat]:[ISOw Bal Vat]],AT33,cf_purch[[Year Bal Vat]:[Year Bal Vat]],AT32)*-1</f>
        <v>0</v>
      </c>
      <c r="AU56" s="56">
        <f>SUMIFS(cf_purch[[VAT Bal ]:[VAT Bal ]],cf_purch[[ISOw Bal Vat]:[ISOw Bal Vat]],AU33,cf_purch[[Year Bal Vat]:[Year Bal Vat]],AU32)*-1</f>
        <v>0</v>
      </c>
      <c r="AV56" s="56">
        <f>SUMIFS(cf_purch[[VAT Bal ]:[VAT Bal ]],cf_purch[[ISOw Bal Vat]:[ISOw Bal Vat]],AV33,cf_purch[[Year Bal Vat]:[Year Bal Vat]],AV32)*-1</f>
        <v>0</v>
      </c>
      <c r="AW56" s="56">
        <f>SUMIFS(cf_purch[[VAT Bal ]:[VAT Bal ]],cf_purch[[ISOw Bal Vat]:[ISOw Bal Vat]],AW33,cf_purch[[Year Bal Vat]:[Year Bal Vat]],AW32)*-1</f>
        <v>0</v>
      </c>
      <c r="AX56" s="56">
        <f>SUMIFS(cf_purch[[VAT Bal ]:[VAT Bal ]],cf_purch[[ISOw Bal Vat]:[ISOw Bal Vat]],AX33,cf_purch[[Year Bal Vat]:[Year Bal Vat]],AX32)*-1</f>
        <v>0</v>
      </c>
      <c r="AY56" s="56">
        <f>SUMIFS(cf_purch[[VAT Bal ]:[VAT Bal ]],cf_purch[[ISOw Bal Vat]:[ISOw Bal Vat]],AY33,cf_purch[[Year Bal Vat]:[Year Bal Vat]],AY32)*-1</f>
        <v>0</v>
      </c>
      <c r="AZ56" s="56">
        <f>SUMIFS(cf_purch[[VAT Bal ]:[VAT Bal ]],cf_purch[[ISOw Bal Vat]:[ISOw Bal Vat]],AZ33,cf_purch[[Year Bal Vat]:[Year Bal Vat]],AZ32)*-1</f>
        <v>0</v>
      </c>
      <c r="BA56" s="56">
        <f>SUMIFS(cf_purch[[VAT Bal ]:[VAT Bal ]],cf_purch[[ISOw Bal Vat]:[ISOw Bal Vat]],BA33,cf_purch[[Year Bal Vat]:[Year Bal Vat]],BA32)*-1</f>
        <v>0</v>
      </c>
      <c r="BB56" s="56">
        <f>SUMIFS(cf_purch[[VAT Bal ]:[VAT Bal ]],cf_purch[[ISOw Bal Vat]:[ISOw Bal Vat]],BB33,cf_purch[[Year Bal Vat]:[Year Bal Vat]],BB32)*-1</f>
        <v>0</v>
      </c>
      <c r="BC56" s="56">
        <f>SUMIFS(cf_purch[[VAT Bal ]:[VAT Bal ]],cf_purch[[ISOw Bal Vat]:[ISOw Bal Vat]],BC33,cf_purch[[Year Bal Vat]:[Year Bal Vat]],BC32)*-1</f>
        <v>0</v>
      </c>
      <c r="BD56" s="56">
        <f>SUMIFS(cf_purch[[VAT Bal ]:[VAT Bal ]],cf_purch[[ISOw Bal Vat]:[ISOw Bal Vat]],BD33,cf_purch[[Year Bal Vat]:[Year Bal Vat]],BD32)*-1</f>
        <v>0</v>
      </c>
      <c r="BE56" s="56">
        <f>SUMIFS(cf_purch[[VAT Bal ]:[VAT Bal ]],cf_purch[[ISOw Bal Vat]:[ISOw Bal Vat]],BE33,cf_purch[[Year Bal Vat]:[Year Bal Vat]],BE32)*-1</f>
        <v>0</v>
      </c>
      <c r="BF56" s="56">
        <f>SUMIFS(cf_purch[[VAT Bal ]:[VAT Bal ]],cf_purch[[ISOw Bal Vat]:[ISOw Bal Vat]],BF33,cf_purch[[Year Bal Vat]:[Year Bal Vat]],BF32)*-1</f>
        <v>0</v>
      </c>
      <c r="BG56" s="56">
        <f>SUMIFS(cf_purch[[VAT Bal ]:[VAT Bal ]],cf_purch[[ISOw Bal Vat]:[ISOw Bal Vat]],BG33,cf_purch[[Year Bal Vat]:[Year Bal Vat]],BG32)*-1</f>
        <v>0</v>
      </c>
      <c r="BH56" s="28"/>
      <c r="BI56" s="111"/>
      <c r="BJ56" s="111"/>
    </row>
    <row r="57" spans="2:62" ht="15.75" customHeight="1" x14ac:dyDescent="0.25">
      <c r="B57" s="32"/>
      <c r="C57" s="111"/>
      <c r="D57" s="28"/>
      <c r="E57" s="111"/>
      <c r="F57" s="53"/>
      <c r="G57" s="28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28"/>
      <c r="BI57" s="111"/>
      <c r="BJ57" s="111"/>
    </row>
    <row r="58" spans="2:62" ht="15.75" customHeight="1" thickBot="1" x14ac:dyDescent="0.3">
      <c r="B58" s="32"/>
      <c r="C58" s="111"/>
      <c r="D58" s="44" t="s">
        <v>94</v>
      </c>
      <c r="E58" s="111"/>
      <c r="F58" s="51">
        <f>SUM(H58:BG58)</f>
        <v>-325000</v>
      </c>
      <c r="G58" s="28"/>
      <c r="H58" s="52">
        <f>SUMIFS(cf_sales[[Weekly Trsp]:[Weekly Trsp]], cf_sales[[1st Transport]:[1st Transport]], "&lt;="&amp;H39, cf_sales[[Last Transport]:[Last Transport]], "&gt;="&amp;H37)*-1</f>
        <v>0</v>
      </c>
      <c r="I58" s="52">
        <f>SUMIFS(cf_sales[[Weekly Trsp]:[Weekly Trsp]], cf_sales[[1st Transport]:[1st Transport]], "&lt;="&amp;I39, cf_sales[[Last Transport]:[Last Transport]], "&gt;="&amp;I37)*-1</f>
        <v>0</v>
      </c>
      <c r="J58" s="52">
        <f>SUMIFS(cf_sales[[Weekly Trsp]:[Weekly Trsp]], cf_sales[[1st Transport]:[1st Transport]], "&lt;="&amp;J39, cf_sales[[Last Transport]:[Last Transport]], "&gt;="&amp;J37)*-1</f>
        <v>0</v>
      </c>
      <c r="K58" s="52">
        <f>SUMIFS(cf_sales[[Weekly Trsp]:[Weekly Trsp]], cf_sales[[1st Transport]:[1st Transport]], "&lt;="&amp;K39, cf_sales[[Last Transport]:[Last Transport]], "&gt;="&amp;K37)*-1</f>
        <v>0</v>
      </c>
      <c r="L58" s="52">
        <f>SUMIFS(cf_sales[[Weekly Trsp]:[Weekly Trsp]], cf_sales[[1st Transport]:[1st Transport]], "&lt;="&amp;L39, cf_sales[[Last Transport]:[Last Transport]], "&gt;="&amp;L37)*-1</f>
        <v>0</v>
      </c>
      <c r="M58" s="52">
        <f>SUMIFS(cf_sales[[Weekly Trsp]:[Weekly Trsp]], cf_sales[[1st Transport]:[1st Transport]], "&lt;="&amp;M39, cf_sales[[Last Transport]:[Last Transport]], "&gt;="&amp;M37)*-1</f>
        <v>0</v>
      </c>
      <c r="N58" s="52">
        <f>SUMIFS(cf_sales[[Weekly Trsp]:[Weekly Trsp]], cf_sales[[1st Transport]:[1st Transport]], "&lt;="&amp;N39, cf_sales[[Last Transport]:[Last Transport]], "&gt;="&amp;N37)*-1</f>
        <v>0</v>
      </c>
      <c r="O58" s="52">
        <f>SUMIFS(cf_sales[[Weekly Trsp]:[Weekly Trsp]], cf_sales[[1st Transport]:[1st Transport]], "&lt;="&amp;O39, cf_sales[[Last Transport]:[Last Transport]], "&gt;="&amp;O37)*-1</f>
        <v>0</v>
      </c>
      <c r="P58" s="52">
        <f>SUMIFS(cf_sales[[Weekly Trsp]:[Weekly Trsp]], cf_sales[[1st Transport]:[1st Transport]], "&lt;="&amp;P39, cf_sales[[Last Transport]:[Last Transport]], "&gt;="&amp;P37)*-1</f>
        <v>0</v>
      </c>
      <c r="Q58" s="52">
        <f>SUMIFS(cf_sales[[Weekly Trsp]:[Weekly Trsp]], cf_sales[[1st Transport]:[1st Transport]], "&lt;="&amp;Q39, cf_sales[[Last Transport]:[Last Transport]], "&gt;="&amp;Q37)*-1</f>
        <v>0</v>
      </c>
      <c r="R58" s="52">
        <f>SUMIFS(cf_sales[[Weekly Trsp]:[Weekly Trsp]], cf_sales[[1st Transport]:[1st Transport]], "&lt;="&amp;R39, cf_sales[[Last Transport]:[Last Transport]], "&gt;="&amp;R37)*-1</f>
        <v>0</v>
      </c>
      <c r="S58" s="52">
        <f>SUMIFS(cf_sales[[Weekly Trsp]:[Weekly Trsp]], cf_sales[[1st Transport]:[1st Transport]], "&lt;="&amp;S39, cf_sales[[Last Transport]:[Last Transport]], "&gt;="&amp;S37)*-1</f>
        <v>0</v>
      </c>
      <c r="T58" s="52">
        <f>SUMIFS(cf_sales[[Weekly Trsp]:[Weekly Trsp]], cf_sales[[1st Transport]:[1st Transport]], "&lt;="&amp;T39, cf_sales[[Last Transport]:[Last Transport]], "&gt;="&amp;T37)*-1</f>
        <v>0</v>
      </c>
      <c r="U58" s="52">
        <f>SUMIFS(cf_sales[[Weekly Trsp]:[Weekly Trsp]], cf_sales[[1st Transport]:[1st Transport]], "&lt;="&amp;U39, cf_sales[[Last Transport]:[Last Transport]], "&gt;="&amp;U37)*-1</f>
        <v>0</v>
      </c>
      <c r="V58" s="52">
        <f>SUMIFS(cf_sales[[Weekly Trsp]:[Weekly Trsp]], cf_sales[[1st Transport]:[1st Transport]], "&lt;="&amp;V39, cf_sales[[Last Transport]:[Last Transport]], "&gt;="&amp;V37)*-1</f>
        <v>0</v>
      </c>
      <c r="W58" s="52">
        <f>SUMIFS(cf_sales[[Weekly Trsp]:[Weekly Trsp]], cf_sales[[1st Transport]:[1st Transport]], "&lt;="&amp;W39, cf_sales[[Last Transport]:[Last Transport]], "&gt;="&amp;W37)*-1</f>
        <v>0</v>
      </c>
      <c r="X58" s="52">
        <f>SUMIFS(cf_sales[[Weekly Trsp]:[Weekly Trsp]], cf_sales[[1st Transport]:[1st Transport]], "&lt;="&amp;X39, cf_sales[[Last Transport]:[Last Transport]], "&gt;="&amp;X37)*-1</f>
        <v>0</v>
      </c>
      <c r="Y58" s="52">
        <f>SUMIFS(cf_sales[[Weekly Trsp]:[Weekly Trsp]], cf_sales[[1st Transport]:[1st Transport]], "&lt;="&amp;Y39, cf_sales[[Last Transport]:[Last Transport]], "&gt;="&amp;Y37)*-1</f>
        <v>0</v>
      </c>
      <c r="Z58" s="52">
        <f>SUMIFS(cf_sales[[Weekly Trsp]:[Weekly Trsp]], cf_sales[[1st Transport]:[1st Transport]], "&lt;="&amp;Z39, cf_sales[[Last Transport]:[Last Transport]], "&gt;="&amp;Z37)*-1</f>
        <v>0</v>
      </c>
      <c r="AA58" s="52">
        <f>SUMIFS(cf_sales[[Weekly Trsp]:[Weekly Trsp]], cf_sales[[1st Transport]:[1st Transport]], "&lt;="&amp;AA39, cf_sales[[Last Transport]:[Last Transport]], "&gt;="&amp;AA37)*-1</f>
        <v>-81250</v>
      </c>
      <c r="AB58" s="52">
        <f>SUMIFS(cf_sales[[Weekly Trsp]:[Weekly Trsp]], cf_sales[[1st Transport]:[1st Transport]], "&lt;="&amp;AB39, cf_sales[[Last Transport]:[Last Transport]], "&gt;="&amp;AB37)*-1</f>
        <v>-81250</v>
      </c>
      <c r="AC58" s="52">
        <f>SUMIFS(cf_sales[[Weekly Trsp]:[Weekly Trsp]], cf_sales[[1st Transport]:[1st Transport]], "&lt;="&amp;AC39, cf_sales[[Last Transport]:[Last Transport]], "&gt;="&amp;AC37)*-1</f>
        <v>-81250</v>
      </c>
      <c r="AD58" s="52">
        <f>SUMIFS(cf_sales[[Weekly Trsp]:[Weekly Trsp]], cf_sales[[1st Transport]:[1st Transport]], "&lt;="&amp;AD39, cf_sales[[Last Transport]:[Last Transport]], "&gt;="&amp;AD37)*-1</f>
        <v>-81250</v>
      </c>
      <c r="AE58" s="52">
        <f>SUMIFS(cf_sales[[Weekly Trsp]:[Weekly Trsp]], cf_sales[[1st Transport]:[1st Transport]], "&lt;="&amp;AE39, cf_sales[[Last Transport]:[Last Transport]], "&gt;="&amp;AE37)*-1</f>
        <v>0</v>
      </c>
      <c r="AF58" s="52">
        <f>SUMIFS(cf_sales[[Weekly Trsp]:[Weekly Trsp]], cf_sales[[1st Transport]:[1st Transport]], "&lt;="&amp;AF39, cf_sales[[Last Transport]:[Last Transport]], "&gt;="&amp;AF37)*-1</f>
        <v>0</v>
      </c>
      <c r="AG58" s="52">
        <f>SUMIFS(cf_sales[[Weekly Trsp]:[Weekly Trsp]], cf_sales[[1st Transport]:[1st Transport]], "&lt;="&amp;AG39, cf_sales[[Last Transport]:[Last Transport]], "&gt;="&amp;AG37)*-1</f>
        <v>0</v>
      </c>
      <c r="AH58" s="52">
        <f>SUMIFS(cf_sales[[Weekly Trsp]:[Weekly Trsp]], cf_sales[[1st Transport]:[1st Transport]], "&lt;="&amp;AH39, cf_sales[[Last Transport]:[Last Transport]], "&gt;="&amp;AH37)*-1</f>
        <v>0</v>
      </c>
      <c r="AI58" s="52">
        <f>SUMIFS(cf_sales[[Weekly Trsp]:[Weekly Trsp]], cf_sales[[1st Transport]:[1st Transport]], "&lt;="&amp;AI39, cf_sales[[Last Transport]:[Last Transport]], "&gt;="&amp;AI37)*-1</f>
        <v>0</v>
      </c>
      <c r="AJ58" s="52">
        <f>SUMIFS(cf_sales[[Weekly Trsp]:[Weekly Trsp]], cf_sales[[1st Transport]:[1st Transport]], "&lt;="&amp;AJ39, cf_sales[[Last Transport]:[Last Transport]], "&gt;="&amp;AJ37)*-1</f>
        <v>0</v>
      </c>
      <c r="AK58" s="52">
        <f>SUMIFS(cf_sales[[Weekly Trsp]:[Weekly Trsp]], cf_sales[[1st Transport]:[1st Transport]], "&lt;="&amp;AK39, cf_sales[[Last Transport]:[Last Transport]], "&gt;="&amp;AK37)*-1</f>
        <v>0</v>
      </c>
      <c r="AL58" s="52">
        <f>SUMIFS(cf_sales[[Weekly Trsp]:[Weekly Trsp]], cf_sales[[1st Transport]:[1st Transport]], "&lt;="&amp;AL39, cf_sales[[Last Transport]:[Last Transport]], "&gt;="&amp;AL37)*-1</f>
        <v>0</v>
      </c>
      <c r="AM58" s="52">
        <f>SUMIFS(cf_sales[[Weekly Trsp]:[Weekly Trsp]], cf_sales[[1st Transport]:[1st Transport]], "&lt;="&amp;AM39, cf_sales[[Last Transport]:[Last Transport]], "&gt;="&amp;AM37)*-1</f>
        <v>0</v>
      </c>
      <c r="AN58" s="52">
        <f>SUMIFS(cf_sales[[Weekly Trsp]:[Weekly Trsp]], cf_sales[[1st Transport]:[1st Transport]], "&lt;="&amp;AN39, cf_sales[[Last Transport]:[Last Transport]], "&gt;="&amp;AN37)*-1</f>
        <v>0</v>
      </c>
      <c r="AO58" s="52">
        <f>SUMIFS(cf_sales[[Weekly Trsp]:[Weekly Trsp]], cf_sales[[1st Transport]:[1st Transport]], "&lt;="&amp;AO39, cf_sales[[Last Transport]:[Last Transport]], "&gt;="&amp;AO37)*-1</f>
        <v>0</v>
      </c>
      <c r="AP58" s="52">
        <f>SUMIFS(cf_sales[[Weekly Trsp]:[Weekly Trsp]], cf_sales[[1st Transport]:[1st Transport]], "&lt;="&amp;AP39, cf_sales[[Last Transport]:[Last Transport]], "&gt;="&amp;AP37)*-1</f>
        <v>0</v>
      </c>
      <c r="AQ58" s="52">
        <f>SUMIFS(cf_sales[[Weekly Trsp]:[Weekly Trsp]], cf_sales[[1st Transport]:[1st Transport]], "&lt;="&amp;AQ39, cf_sales[[Last Transport]:[Last Transport]], "&gt;="&amp;AQ37)*-1</f>
        <v>0</v>
      </c>
      <c r="AR58" s="52">
        <f>SUMIFS(cf_sales[[Weekly Trsp]:[Weekly Trsp]], cf_sales[[1st Transport]:[1st Transport]], "&lt;="&amp;AR39, cf_sales[[Last Transport]:[Last Transport]], "&gt;="&amp;AR37)*-1</f>
        <v>0</v>
      </c>
      <c r="AS58" s="52">
        <f>SUMIFS(cf_sales[[Weekly Trsp]:[Weekly Trsp]], cf_sales[[1st Transport]:[1st Transport]], "&lt;="&amp;AS39, cf_sales[[Last Transport]:[Last Transport]], "&gt;="&amp;AS37)*-1</f>
        <v>0</v>
      </c>
      <c r="AT58" s="52">
        <f>SUMIFS(cf_sales[[Weekly Trsp]:[Weekly Trsp]], cf_sales[[1st Transport]:[1st Transport]], "&lt;="&amp;AT39, cf_sales[[Last Transport]:[Last Transport]], "&gt;="&amp;AT37)*-1</f>
        <v>0</v>
      </c>
      <c r="AU58" s="52">
        <f>SUMIFS(cf_sales[[Weekly Trsp]:[Weekly Trsp]], cf_sales[[1st Transport]:[1st Transport]], "&lt;="&amp;AU39, cf_sales[[Last Transport]:[Last Transport]], "&gt;="&amp;AU37)*-1</f>
        <v>0</v>
      </c>
      <c r="AV58" s="52">
        <f>SUMIFS(cf_sales[[Weekly Trsp]:[Weekly Trsp]], cf_sales[[1st Transport]:[1st Transport]], "&lt;="&amp;AV39, cf_sales[[Last Transport]:[Last Transport]], "&gt;="&amp;AV37)*-1</f>
        <v>0</v>
      </c>
      <c r="AW58" s="52">
        <f>SUMIFS(cf_sales[[Weekly Trsp]:[Weekly Trsp]], cf_sales[[1st Transport]:[1st Transport]], "&lt;="&amp;AW39, cf_sales[[Last Transport]:[Last Transport]], "&gt;="&amp;AW37)*-1</f>
        <v>0</v>
      </c>
      <c r="AX58" s="52">
        <f>SUMIFS(cf_sales[[Weekly Trsp]:[Weekly Trsp]], cf_sales[[1st Transport]:[1st Transport]], "&lt;="&amp;AX39, cf_sales[[Last Transport]:[Last Transport]], "&gt;="&amp;AX37)*-1</f>
        <v>0</v>
      </c>
      <c r="AY58" s="52">
        <f>SUMIFS(cf_sales[[Weekly Trsp]:[Weekly Trsp]], cf_sales[[1st Transport]:[1st Transport]], "&lt;="&amp;AY39, cf_sales[[Last Transport]:[Last Transport]], "&gt;="&amp;AY37)*-1</f>
        <v>0</v>
      </c>
      <c r="AZ58" s="52">
        <f>SUMIFS(cf_sales[[Weekly Trsp]:[Weekly Trsp]], cf_sales[[1st Transport]:[1st Transport]], "&lt;="&amp;AZ39, cf_sales[[Last Transport]:[Last Transport]], "&gt;="&amp;AZ37)*-1</f>
        <v>0</v>
      </c>
      <c r="BA58" s="52">
        <f>SUMIFS(cf_sales[[Weekly Trsp]:[Weekly Trsp]], cf_sales[[1st Transport]:[1st Transport]], "&lt;="&amp;BA39, cf_sales[[Last Transport]:[Last Transport]], "&gt;="&amp;BA37)*-1</f>
        <v>0</v>
      </c>
      <c r="BB58" s="52">
        <f>SUMIFS(cf_sales[[Weekly Trsp]:[Weekly Trsp]], cf_sales[[1st Transport]:[1st Transport]], "&lt;="&amp;BB39, cf_sales[[Last Transport]:[Last Transport]], "&gt;="&amp;BB37)*-1</f>
        <v>0</v>
      </c>
      <c r="BC58" s="52">
        <f>SUMIFS(cf_sales[[Weekly Trsp]:[Weekly Trsp]], cf_sales[[1st Transport]:[1st Transport]], "&lt;="&amp;BC39, cf_sales[[Last Transport]:[Last Transport]], "&gt;="&amp;BC37)*-1</f>
        <v>0</v>
      </c>
      <c r="BD58" s="52">
        <f>SUMIFS(cf_sales[[Weekly Trsp]:[Weekly Trsp]], cf_sales[[1st Transport]:[1st Transport]], "&lt;="&amp;BD39, cf_sales[[Last Transport]:[Last Transport]], "&gt;="&amp;BD37)*-1</f>
        <v>0</v>
      </c>
      <c r="BE58" s="52">
        <f>SUMIFS(cf_sales[[Weekly Trsp]:[Weekly Trsp]], cf_sales[[1st Transport]:[1st Transport]], "&lt;="&amp;BE39, cf_sales[[Last Transport]:[Last Transport]], "&gt;="&amp;BE37)*-1</f>
        <v>0</v>
      </c>
      <c r="BF58" s="52">
        <f>SUMIFS(cf_sales[[Weekly Trsp]:[Weekly Trsp]], cf_sales[[1st Transport]:[1st Transport]], "&lt;="&amp;BF39, cf_sales[[Last Transport]:[Last Transport]], "&gt;="&amp;BF37)*-1</f>
        <v>0</v>
      </c>
      <c r="BG58" s="52">
        <f>SUMIFS(cf_sales[[Weekly Trsp]:[Weekly Trsp]], cf_sales[[1st Transport]:[1st Transport]], "&lt;="&amp;BG39, cf_sales[[Last Transport]:[Last Transport]], "&gt;="&amp;BG37)*-1</f>
        <v>0</v>
      </c>
      <c r="BH58" s="28"/>
      <c r="BI58" s="111"/>
      <c r="BJ58" s="111"/>
    </row>
    <row r="59" spans="2:62" ht="15.75" customHeight="1" thickTop="1" x14ac:dyDescent="0.25">
      <c r="B59" s="32"/>
      <c r="C59" s="111"/>
      <c r="D59" s="28"/>
      <c r="E59" s="111"/>
      <c r="F59" s="53"/>
      <c r="G59" s="28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28"/>
      <c r="BI59" s="111"/>
      <c r="BJ59" s="111"/>
    </row>
    <row r="60" spans="2:62" ht="15.75" customHeight="1" thickBot="1" x14ac:dyDescent="0.3">
      <c r="B60" s="32"/>
      <c r="C60" s="111"/>
      <c r="D60" s="44" t="s">
        <v>177</v>
      </c>
      <c r="E60" s="111"/>
      <c r="F60" s="51">
        <f>SUM(H60:BG60)</f>
        <v>-25000</v>
      </c>
      <c r="G60" s="28"/>
      <c r="H60" s="52">
        <f>SUMIFS(cf_sales[[Weekly Adhoc]:[Weekly Adhoc]], cf_sales[[1st Transport]:[1st Transport]], "&lt;="&amp;H39, cf_sales[[Last Transport]:[Last Transport]], "&gt;="&amp;H37)*-1</f>
        <v>0</v>
      </c>
      <c r="I60" s="52">
        <f>SUMIFS(cf_sales[[Weekly Adhoc]:[Weekly Adhoc]], cf_sales[[1st Transport]:[1st Transport]], "&lt;="&amp;I39, cf_sales[[Last Transport]:[Last Transport]], "&gt;="&amp;I37)*-1</f>
        <v>0</v>
      </c>
      <c r="J60" s="52">
        <f>SUMIFS(cf_sales[[Weekly Adhoc]:[Weekly Adhoc]], cf_sales[[1st Transport]:[1st Transport]], "&lt;="&amp;J39, cf_sales[[Last Transport]:[Last Transport]], "&gt;="&amp;J37)*-1</f>
        <v>0</v>
      </c>
      <c r="K60" s="52">
        <f>SUMIFS(cf_sales[[Weekly Adhoc]:[Weekly Adhoc]], cf_sales[[1st Transport]:[1st Transport]], "&lt;="&amp;K39, cf_sales[[Last Transport]:[Last Transport]], "&gt;="&amp;K37)*-1</f>
        <v>0</v>
      </c>
      <c r="L60" s="52">
        <f>SUMIFS(cf_sales[[Weekly Adhoc]:[Weekly Adhoc]], cf_sales[[1st Transport]:[1st Transport]], "&lt;="&amp;L39, cf_sales[[Last Transport]:[Last Transport]], "&gt;="&amp;L37)*-1</f>
        <v>0</v>
      </c>
      <c r="M60" s="52">
        <f>SUMIFS(cf_sales[[Weekly Adhoc]:[Weekly Adhoc]], cf_sales[[1st Transport]:[1st Transport]], "&lt;="&amp;M39, cf_sales[[Last Transport]:[Last Transport]], "&gt;="&amp;M37)*-1</f>
        <v>0</v>
      </c>
      <c r="N60" s="52">
        <f>SUMIFS(cf_sales[[Weekly Adhoc]:[Weekly Adhoc]], cf_sales[[1st Transport]:[1st Transport]], "&lt;="&amp;N39, cf_sales[[Last Transport]:[Last Transport]], "&gt;="&amp;N37)*-1</f>
        <v>0</v>
      </c>
      <c r="O60" s="52">
        <f>SUMIFS(cf_sales[[Weekly Adhoc]:[Weekly Adhoc]], cf_sales[[1st Transport]:[1st Transport]], "&lt;="&amp;O39, cf_sales[[Last Transport]:[Last Transport]], "&gt;="&amp;O37)*-1</f>
        <v>0</v>
      </c>
      <c r="P60" s="52">
        <f>SUMIFS(cf_sales[[Weekly Adhoc]:[Weekly Adhoc]], cf_sales[[1st Transport]:[1st Transport]], "&lt;="&amp;P39, cf_sales[[Last Transport]:[Last Transport]], "&gt;="&amp;P37)*-1</f>
        <v>0</v>
      </c>
      <c r="Q60" s="52">
        <f>SUMIFS(cf_sales[[Weekly Adhoc]:[Weekly Adhoc]], cf_sales[[1st Transport]:[1st Transport]], "&lt;="&amp;Q39, cf_sales[[Last Transport]:[Last Transport]], "&gt;="&amp;Q37)*-1</f>
        <v>0</v>
      </c>
      <c r="R60" s="52">
        <f>SUMIFS(cf_sales[[Weekly Adhoc]:[Weekly Adhoc]], cf_sales[[1st Transport]:[1st Transport]], "&lt;="&amp;R39, cf_sales[[Last Transport]:[Last Transport]], "&gt;="&amp;R37)*-1</f>
        <v>0</v>
      </c>
      <c r="S60" s="52">
        <f>SUMIFS(cf_sales[[Weekly Adhoc]:[Weekly Adhoc]], cf_sales[[1st Transport]:[1st Transport]], "&lt;="&amp;S39, cf_sales[[Last Transport]:[Last Transport]], "&gt;="&amp;S37)*-1</f>
        <v>0</v>
      </c>
      <c r="T60" s="52">
        <f>SUMIFS(cf_sales[[Weekly Adhoc]:[Weekly Adhoc]], cf_sales[[1st Transport]:[1st Transport]], "&lt;="&amp;T39, cf_sales[[Last Transport]:[Last Transport]], "&gt;="&amp;T37)*-1</f>
        <v>0</v>
      </c>
      <c r="U60" s="52">
        <f>SUMIFS(cf_sales[[Weekly Adhoc]:[Weekly Adhoc]], cf_sales[[1st Transport]:[1st Transport]], "&lt;="&amp;U39, cf_sales[[Last Transport]:[Last Transport]], "&gt;="&amp;U37)*-1</f>
        <v>0</v>
      </c>
      <c r="V60" s="52">
        <f>SUMIFS(cf_sales[[Weekly Adhoc]:[Weekly Adhoc]], cf_sales[[1st Transport]:[1st Transport]], "&lt;="&amp;V39, cf_sales[[Last Transport]:[Last Transport]], "&gt;="&amp;V37)*-1</f>
        <v>0</v>
      </c>
      <c r="W60" s="52">
        <f>SUMIFS(cf_sales[[Weekly Adhoc]:[Weekly Adhoc]], cf_sales[[1st Transport]:[1st Transport]], "&lt;="&amp;W39, cf_sales[[Last Transport]:[Last Transport]], "&gt;="&amp;W37)*-1</f>
        <v>0</v>
      </c>
      <c r="X60" s="52">
        <f>SUMIFS(cf_sales[[Weekly Adhoc]:[Weekly Adhoc]], cf_sales[[1st Transport]:[1st Transport]], "&lt;="&amp;X39, cf_sales[[Last Transport]:[Last Transport]], "&gt;="&amp;X37)*-1</f>
        <v>0</v>
      </c>
      <c r="Y60" s="52">
        <f>SUMIFS(cf_sales[[Weekly Adhoc]:[Weekly Adhoc]], cf_sales[[1st Transport]:[1st Transport]], "&lt;="&amp;Y39, cf_sales[[Last Transport]:[Last Transport]], "&gt;="&amp;Y37)*-1</f>
        <v>0</v>
      </c>
      <c r="Z60" s="52">
        <f>SUMIFS(cf_sales[[Weekly Adhoc]:[Weekly Adhoc]], cf_sales[[1st Transport]:[1st Transport]], "&lt;="&amp;Z39, cf_sales[[Last Transport]:[Last Transport]], "&gt;="&amp;Z37)*-1</f>
        <v>0</v>
      </c>
      <c r="AA60" s="52">
        <f>SUMIFS(cf_sales[[Weekly Adhoc]:[Weekly Adhoc]], cf_sales[[1st Transport]:[1st Transport]], "&lt;="&amp;AA39, cf_sales[[Last Transport]:[Last Transport]], "&gt;="&amp;AA37)*-1</f>
        <v>-6250</v>
      </c>
      <c r="AB60" s="52">
        <f>SUMIFS(cf_sales[[Weekly Adhoc]:[Weekly Adhoc]], cf_sales[[1st Transport]:[1st Transport]], "&lt;="&amp;AB39, cf_sales[[Last Transport]:[Last Transport]], "&gt;="&amp;AB37)*-1</f>
        <v>-6250</v>
      </c>
      <c r="AC60" s="52">
        <f>SUMIFS(cf_sales[[Weekly Adhoc]:[Weekly Adhoc]], cf_sales[[1st Transport]:[1st Transport]], "&lt;="&amp;AC39, cf_sales[[Last Transport]:[Last Transport]], "&gt;="&amp;AC37)*-1</f>
        <v>-6250</v>
      </c>
      <c r="AD60" s="52">
        <f>SUMIFS(cf_sales[[Weekly Adhoc]:[Weekly Adhoc]], cf_sales[[1st Transport]:[1st Transport]], "&lt;="&amp;AD39, cf_sales[[Last Transport]:[Last Transport]], "&gt;="&amp;AD37)*-1</f>
        <v>-6250</v>
      </c>
      <c r="AE60" s="52">
        <f>SUMIFS(cf_sales[[Weekly Adhoc]:[Weekly Adhoc]], cf_sales[[1st Transport]:[1st Transport]], "&lt;="&amp;AE39, cf_sales[[Last Transport]:[Last Transport]], "&gt;="&amp;AE37)*-1</f>
        <v>0</v>
      </c>
      <c r="AF60" s="52">
        <f>SUMIFS(cf_sales[[Weekly Adhoc]:[Weekly Adhoc]], cf_sales[[1st Transport]:[1st Transport]], "&lt;="&amp;AF39, cf_sales[[Last Transport]:[Last Transport]], "&gt;="&amp;AF37)*-1</f>
        <v>0</v>
      </c>
      <c r="AG60" s="52">
        <f>SUMIFS(cf_sales[[Weekly Adhoc]:[Weekly Adhoc]], cf_sales[[1st Transport]:[1st Transport]], "&lt;="&amp;AG39, cf_sales[[Last Transport]:[Last Transport]], "&gt;="&amp;AG37)*-1</f>
        <v>0</v>
      </c>
      <c r="AH60" s="52">
        <f>SUMIFS(cf_sales[[Weekly Adhoc]:[Weekly Adhoc]], cf_sales[[1st Transport]:[1st Transport]], "&lt;="&amp;AH39, cf_sales[[Last Transport]:[Last Transport]], "&gt;="&amp;AH37)*-1</f>
        <v>0</v>
      </c>
      <c r="AI60" s="52">
        <f>SUMIFS(cf_sales[[Weekly Adhoc]:[Weekly Adhoc]], cf_sales[[1st Transport]:[1st Transport]], "&lt;="&amp;AI39, cf_sales[[Last Transport]:[Last Transport]], "&gt;="&amp;AI37)*-1</f>
        <v>0</v>
      </c>
      <c r="AJ60" s="52">
        <f>SUMIFS(cf_sales[[Weekly Adhoc]:[Weekly Adhoc]], cf_sales[[1st Transport]:[1st Transport]], "&lt;="&amp;AJ39, cf_sales[[Last Transport]:[Last Transport]], "&gt;="&amp;AJ37)*-1</f>
        <v>0</v>
      </c>
      <c r="AK60" s="52">
        <f>SUMIFS(cf_sales[[Weekly Adhoc]:[Weekly Adhoc]], cf_sales[[1st Transport]:[1st Transport]], "&lt;="&amp;AK39, cf_sales[[Last Transport]:[Last Transport]], "&gt;="&amp;AK37)*-1</f>
        <v>0</v>
      </c>
      <c r="AL60" s="52">
        <f>SUMIFS(cf_sales[[Weekly Adhoc]:[Weekly Adhoc]], cf_sales[[1st Transport]:[1st Transport]], "&lt;="&amp;AL39, cf_sales[[Last Transport]:[Last Transport]], "&gt;="&amp;AL37)*-1</f>
        <v>0</v>
      </c>
      <c r="AM60" s="52">
        <f>SUMIFS(cf_sales[[Weekly Adhoc]:[Weekly Adhoc]], cf_sales[[1st Transport]:[1st Transport]], "&lt;="&amp;AM39, cf_sales[[Last Transport]:[Last Transport]], "&gt;="&amp;AM37)*-1</f>
        <v>0</v>
      </c>
      <c r="AN60" s="52">
        <f>SUMIFS(cf_sales[[Weekly Adhoc]:[Weekly Adhoc]], cf_sales[[1st Transport]:[1st Transport]], "&lt;="&amp;AN39, cf_sales[[Last Transport]:[Last Transport]], "&gt;="&amp;AN37)*-1</f>
        <v>0</v>
      </c>
      <c r="AO60" s="52">
        <f>SUMIFS(cf_sales[[Weekly Adhoc]:[Weekly Adhoc]], cf_sales[[1st Transport]:[1st Transport]], "&lt;="&amp;AO39, cf_sales[[Last Transport]:[Last Transport]], "&gt;="&amp;AO37)*-1</f>
        <v>0</v>
      </c>
      <c r="AP60" s="52">
        <f>SUMIFS(cf_sales[[Weekly Adhoc]:[Weekly Adhoc]], cf_sales[[1st Transport]:[1st Transport]], "&lt;="&amp;AP39, cf_sales[[Last Transport]:[Last Transport]], "&gt;="&amp;AP37)*-1</f>
        <v>0</v>
      </c>
      <c r="AQ60" s="52">
        <f>SUMIFS(cf_sales[[Weekly Adhoc]:[Weekly Adhoc]], cf_sales[[1st Transport]:[1st Transport]], "&lt;="&amp;AQ39, cf_sales[[Last Transport]:[Last Transport]], "&gt;="&amp;AQ37)*-1</f>
        <v>0</v>
      </c>
      <c r="AR60" s="52">
        <f>SUMIFS(cf_sales[[Weekly Adhoc]:[Weekly Adhoc]], cf_sales[[1st Transport]:[1st Transport]], "&lt;="&amp;AR39, cf_sales[[Last Transport]:[Last Transport]], "&gt;="&amp;AR37)*-1</f>
        <v>0</v>
      </c>
      <c r="AS60" s="52">
        <f>SUMIFS(cf_sales[[Weekly Adhoc]:[Weekly Adhoc]], cf_sales[[1st Transport]:[1st Transport]], "&lt;="&amp;AS39, cf_sales[[Last Transport]:[Last Transport]], "&gt;="&amp;AS37)*-1</f>
        <v>0</v>
      </c>
      <c r="AT60" s="52">
        <f>SUMIFS(cf_sales[[Weekly Adhoc]:[Weekly Adhoc]], cf_sales[[1st Transport]:[1st Transport]], "&lt;="&amp;AT39, cf_sales[[Last Transport]:[Last Transport]], "&gt;="&amp;AT37)*-1</f>
        <v>0</v>
      </c>
      <c r="AU60" s="52">
        <f>SUMIFS(cf_sales[[Weekly Adhoc]:[Weekly Adhoc]], cf_sales[[1st Transport]:[1st Transport]], "&lt;="&amp;AU39, cf_sales[[Last Transport]:[Last Transport]], "&gt;="&amp;AU37)*-1</f>
        <v>0</v>
      </c>
      <c r="AV60" s="52">
        <f>SUMIFS(cf_sales[[Weekly Adhoc]:[Weekly Adhoc]], cf_sales[[1st Transport]:[1st Transport]], "&lt;="&amp;AV39, cf_sales[[Last Transport]:[Last Transport]], "&gt;="&amp;AV37)*-1</f>
        <v>0</v>
      </c>
      <c r="AW60" s="52">
        <f>SUMIFS(cf_sales[[Weekly Adhoc]:[Weekly Adhoc]], cf_sales[[1st Transport]:[1st Transport]], "&lt;="&amp;AW39, cf_sales[[Last Transport]:[Last Transport]], "&gt;="&amp;AW37)*-1</f>
        <v>0</v>
      </c>
      <c r="AX60" s="52">
        <f>SUMIFS(cf_sales[[Weekly Adhoc]:[Weekly Adhoc]], cf_sales[[1st Transport]:[1st Transport]], "&lt;="&amp;AX39, cf_sales[[Last Transport]:[Last Transport]], "&gt;="&amp;AX37)*-1</f>
        <v>0</v>
      </c>
      <c r="AY60" s="52">
        <f>SUMIFS(cf_sales[[Weekly Adhoc]:[Weekly Adhoc]], cf_sales[[1st Transport]:[1st Transport]], "&lt;="&amp;AY39, cf_sales[[Last Transport]:[Last Transport]], "&gt;="&amp;AY37)*-1</f>
        <v>0</v>
      </c>
      <c r="AZ60" s="52">
        <f>SUMIFS(cf_sales[[Weekly Adhoc]:[Weekly Adhoc]], cf_sales[[1st Transport]:[1st Transport]], "&lt;="&amp;AZ39, cf_sales[[Last Transport]:[Last Transport]], "&gt;="&amp;AZ37)*-1</f>
        <v>0</v>
      </c>
      <c r="BA60" s="52">
        <f>SUMIFS(cf_sales[[Weekly Adhoc]:[Weekly Adhoc]], cf_sales[[1st Transport]:[1st Transport]], "&lt;="&amp;BA39, cf_sales[[Last Transport]:[Last Transport]], "&gt;="&amp;BA37)*-1</f>
        <v>0</v>
      </c>
      <c r="BB60" s="52">
        <f>SUMIFS(cf_sales[[Weekly Adhoc]:[Weekly Adhoc]], cf_sales[[1st Transport]:[1st Transport]], "&lt;="&amp;BB39, cf_sales[[Last Transport]:[Last Transport]], "&gt;="&amp;BB37)*-1</f>
        <v>0</v>
      </c>
      <c r="BC60" s="52">
        <f>SUMIFS(cf_sales[[Weekly Adhoc]:[Weekly Adhoc]], cf_sales[[1st Transport]:[1st Transport]], "&lt;="&amp;BC39, cf_sales[[Last Transport]:[Last Transport]], "&gt;="&amp;BC37)*-1</f>
        <v>0</v>
      </c>
      <c r="BD60" s="52">
        <f>SUMIFS(cf_sales[[Weekly Adhoc]:[Weekly Adhoc]], cf_sales[[1st Transport]:[1st Transport]], "&lt;="&amp;BD39, cf_sales[[Last Transport]:[Last Transport]], "&gt;="&amp;BD37)*-1</f>
        <v>0</v>
      </c>
      <c r="BE60" s="52">
        <f>SUMIFS(cf_sales[[Weekly Adhoc]:[Weekly Adhoc]], cf_sales[[1st Transport]:[1st Transport]], "&lt;="&amp;BE39, cf_sales[[Last Transport]:[Last Transport]], "&gt;="&amp;BE37)*-1</f>
        <v>0</v>
      </c>
      <c r="BF60" s="52">
        <f>SUMIFS(cf_sales[[Weekly Adhoc]:[Weekly Adhoc]], cf_sales[[1st Transport]:[1st Transport]], "&lt;="&amp;BF39, cf_sales[[Last Transport]:[Last Transport]], "&gt;="&amp;BF37)*-1</f>
        <v>0</v>
      </c>
      <c r="BG60" s="52">
        <f>SUMIFS(cf_sales[[Weekly Adhoc]:[Weekly Adhoc]], cf_sales[[1st Transport]:[1st Transport]], "&lt;="&amp;BG39, cf_sales[[Last Transport]:[Last Transport]], "&gt;="&amp;BG37)*-1</f>
        <v>0</v>
      </c>
      <c r="BH60" s="28"/>
      <c r="BI60" s="111"/>
      <c r="BJ60" s="111"/>
    </row>
    <row r="61" spans="2:62" ht="15.75" customHeight="1" thickTop="1" thickBot="1" x14ac:dyDescent="0.3">
      <c r="B61" s="32"/>
      <c r="C61" s="111"/>
      <c r="D61" s="118"/>
      <c r="E61" s="111"/>
      <c r="F61" s="57"/>
      <c r="G61" s="2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28"/>
      <c r="BI61" s="111"/>
      <c r="BJ61" s="111"/>
    </row>
    <row r="62" spans="2:62" ht="15.75" customHeight="1" x14ac:dyDescent="0.25">
      <c r="B62" s="32"/>
      <c r="C62" s="111"/>
      <c r="D62" s="111"/>
      <c r="E62" s="111"/>
      <c r="F62" s="53"/>
      <c r="G62" s="28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28"/>
      <c r="BI62" s="111"/>
      <c r="BJ62" s="111"/>
    </row>
    <row r="63" spans="2:62" ht="15.75" customHeight="1" thickBot="1" x14ac:dyDescent="0.3">
      <c r="B63" s="32"/>
      <c r="C63" s="111"/>
      <c r="D63" s="44" t="s">
        <v>26</v>
      </c>
      <c r="E63" s="111"/>
      <c r="F63" s="51">
        <f>F46+F51+F58+F60</f>
        <v>150000</v>
      </c>
      <c r="G63" s="28"/>
      <c r="H63" s="59">
        <f>H46+H51+H58+H60</f>
        <v>-125000</v>
      </c>
      <c r="I63" s="59">
        <f>H63+I46+I51+I58+I60</f>
        <v>-125000</v>
      </c>
      <c r="J63" s="59">
        <f>I63+J46+J51+J58+J60</f>
        <v>-125000</v>
      </c>
      <c r="K63" s="59">
        <f t="shared" ref="K63:BG63" si="6">J63+K46+K51+K58+K60</f>
        <v>-125000</v>
      </c>
      <c r="L63" s="59">
        <f t="shared" si="6"/>
        <v>-125000</v>
      </c>
      <c r="M63" s="59">
        <f t="shared" si="6"/>
        <v>-125000</v>
      </c>
      <c r="N63" s="59">
        <f t="shared" si="6"/>
        <v>-125000</v>
      </c>
      <c r="O63" s="59">
        <f t="shared" si="6"/>
        <v>-125000</v>
      </c>
      <c r="P63" s="59">
        <f t="shared" si="6"/>
        <v>-250000</v>
      </c>
      <c r="Q63" s="59">
        <f t="shared" si="6"/>
        <v>-250000</v>
      </c>
      <c r="R63" s="59">
        <f t="shared" si="6"/>
        <v>-250000</v>
      </c>
      <c r="S63" s="59">
        <f t="shared" si="6"/>
        <v>-250000</v>
      </c>
      <c r="T63" s="59">
        <f t="shared" si="6"/>
        <v>-250000</v>
      </c>
      <c r="U63" s="59">
        <f t="shared" si="6"/>
        <v>-250000</v>
      </c>
      <c r="V63" s="59">
        <f t="shared" si="6"/>
        <v>-250000</v>
      </c>
      <c r="W63" s="59">
        <f t="shared" si="6"/>
        <v>-250000</v>
      </c>
      <c r="X63" s="59">
        <f t="shared" si="6"/>
        <v>-250000</v>
      </c>
      <c r="Y63" s="59">
        <f t="shared" si="6"/>
        <v>-62500</v>
      </c>
      <c r="Z63" s="59">
        <f t="shared" si="6"/>
        <v>125000</v>
      </c>
      <c r="AA63" s="59">
        <f t="shared" si="6"/>
        <v>225000</v>
      </c>
      <c r="AB63" s="59">
        <f t="shared" si="6"/>
        <v>325000</v>
      </c>
      <c r="AC63" s="59">
        <f t="shared" si="6"/>
        <v>237500</v>
      </c>
      <c r="AD63" s="59">
        <f t="shared" si="6"/>
        <v>150000</v>
      </c>
      <c r="AE63" s="59">
        <f t="shared" si="6"/>
        <v>150000</v>
      </c>
      <c r="AF63" s="59">
        <f t="shared" si="6"/>
        <v>150000</v>
      </c>
      <c r="AG63" s="59">
        <f t="shared" si="6"/>
        <v>150000</v>
      </c>
      <c r="AH63" s="59">
        <f t="shared" si="6"/>
        <v>150000</v>
      </c>
      <c r="AI63" s="59">
        <f t="shared" si="6"/>
        <v>150000</v>
      </c>
      <c r="AJ63" s="59">
        <f t="shared" si="6"/>
        <v>150000</v>
      </c>
      <c r="AK63" s="59">
        <f t="shared" si="6"/>
        <v>150000</v>
      </c>
      <c r="AL63" s="59">
        <f t="shared" si="6"/>
        <v>150000</v>
      </c>
      <c r="AM63" s="59">
        <f t="shared" si="6"/>
        <v>150000</v>
      </c>
      <c r="AN63" s="59">
        <f t="shared" si="6"/>
        <v>150000</v>
      </c>
      <c r="AO63" s="59">
        <f t="shared" si="6"/>
        <v>150000</v>
      </c>
      <c r="AP63" s="59">
        <f t="shared" si="6"/>
        <v>150000</v>
      </c>
      <c r="AQ63" s="59">
        <f t="shared" si="6"/>
        <v>150000</v>
      </c>
      <c r="AR63" s="59">
        <f t="shared" si="6"/>
        <v>150000</v>
      </c>
      <c r="AS63" s="59">
        <f t="shared" si="6"/>
        <v>150000</v>
      </c>
      <c r="AT63" s="59">
        <f t="shared" si="6"/>
        <v>150000</v>
      </c>
      <c r="AU63" s="59">
        <f t="shared" si="6"/>
        <v>150000</v>
      </c>
      <c r="AV63" s="59">
        <f t="shared" si="6"/>
        <v>150000</v>
      </c>
      <c r="AW63" s="59">
        <f t="shared" si="6"/>
        <v>150000</v>
      </c>
      <c r="AX63" s="59">
        <f t="shared" si="6"/>
        <v>150000</v>
      </c>
      <c r="AY63" s="59">
        <f t="shared" si="6"/>
        <v>150000</v>
      </c>
      <c r="AZ63" s="59">
        <f t="shared" si="6"/>
        <v>150000</v>
      </c>
      <c r="BA63" s="59">
        <f t="shared" si="6"/>
        <v>150000</v>
      </c>
      <c r="BB63" s="59">
        <f t="shared" si="6"/>
        <v>150000</v>
      </c>
      <c r="BC63" s="59">
        <f t="shared" si="6"/>
        <v>150000</v>
      </c>
      <c r="BD63" s="59">
        <f t="shared" si="6"/>
        <v>150000</v>
      </c>
      <c r="BE63" s="59">
        <f t="shared" si="6"/>
        <v>150000</v>
      </c>
      <c r="BF63" s="59">
        <f t="shared" si="6"/>
        <v>150000</v>
      </c>
      <c r="BG63" s="59">
        <f t="shared" si="6"/>
        <v>150000</v>
      </c>
      <c r="BH63" s="87"/>
      <c r="BI63" s="111"/>
      <c r="BJ63" s="111"/>
    </row>
    <row r="64" spans="2:62" ht="15.75" customHeight="1" thickTop="1" x14ac:dyDescent="0.25">
      <c r="B64" s="32"/>
      <c r="C64" s="111"/>
      <c r="D64" s="111"/>
      <c r="E64" s="111"/>
      <c r="F64" s="53"/>
      <c r="G64" s="28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28"/>
      <c r="BI64" s="111"/>
      <c r="BJ64" s="111"/>
    </row>
    <row r="65" spans="2:62" ht="15.75" customHeight="1" thickBot="1" x14ac:dyDescent="0.3">
      <c r="B65" s="60"/>
      <c r="C65" s="111"/>
      <c r="D65" s="61" t="s">
        <v>29</v>
      </c>
      <c r="E65" s="111"/>
      <c r="F65" s="51">
        <f>SUM(H65:BG65)</f>
        <v>-7644.2307692307713</v>
      </c>
      <c r="G65" s="38"/>
      <c r="H65" s="62">
        <f>IF(H63&lt;0,H63*($D$32/52),0)</f>
        <v>-288.46153846153845</v>
      </c>
      <c r="I65" s="62">
        <f t="shared" ref="I65:BG65" si="7">IF(I63&lt;0,I63*($D$32/52),0)</f>
        <v>-288.46153846153845</v>
      </c>
      <c r="J65" s="62">
        <f t="shared" si="7"/>
        <v>-288.46153846153845</v>
      </c>
      <c r="K65" s="62">
        <f t="shared" si="7"/>
        <v>-288.46153846153845</v>
      </c>
      <c r="L65" s="62">
        <f t="shared" si="7"/>
        <v>-288.46153846153845</v>
      </c>
      <c r="M65" s="62">
        <f t="shared" si="7"/>
        <v>-288.46153846153845</v>
      </c>
      <c r="N65" s="62">
        <f t="shared" si="7"/>
        <v>-288.46153846153845</v>
      </c>
      <c r="O65" s="62">
        <f t="shared" si="7"/>
        <v>-288.46153846153845</v>
      </c>
      <c r="P65" s="62">
        <f t="shared" si="7"/>
        <v>-576.92307692307691</v>
      </c>
      <c r="Q65" s="62">
        <f t="shared" si="7"/>
        <v>-576.92307692307691</v>
      </c>
      <c r="R65" s="62">
        <f t="shared" si="7"/>
        <v>-576.92307692307691</v>
      </c>
      <c r="S65" s="62">
        <f t="shared" si="7"/>
        <v>-576.92307692307691</v>
      </c>
      <c r="T65" s="62">
        <f t="shared" si="7"/>
        <v>-576.92307692307691</v>
      </c>
      <c r="U65" s="62">
        <f t="shared" si="7"/>
        <v>-576.92307692307691</v>
      </c>
      <c r="V65" s="62">
        <f t="shared" si="7"/>
        <v>-576.92307692307691</v>
      </c>
      <c r="W65" s="62">
        <f t="shared" si="7"/>
        <v>-576.92307692307691</v>
      </c>
      <c r="X65" s="62">
        <f t="shared" si="7"/>
        <v>-576.92307692307691</v>
      </c>
      <c r="Y65" s="62">
        <f t="shared" si="7"/>
        <v>-144.23076923076923</v>
      </c>
      <c r="Z65" s="62">
        <f t="shared" si="7"/>
        <v>0</v>
      </c>
      <c r="AA65" s="62">
        <f t="shared" si="7"/>
        <v>0</v>
      </c>
      <c r="AB65" s="62">
        <f t="shared" si="7"/>
        <v>0</v>
      </c>
      <c r="AC65" s="62">
        <f t="shared" si="7"/>
        <v>0</v>
      </c>
      <c r="AD65" s="62">
        <f t="shared" si="7"/>
        <v>0</v>
      </c>
      <c r="AE65" s="62">
        <f t="shared" si="7"/>
        <v>0</v>
      </c>
      <c r="AF65" s="62">
        <f t="shared" si="7"/>
        <v>0</v>
      </c>
      <c r="AG65" s="62">
        <f t="shared" si="7"/>
        <v>0</v>
      </c>
      <c r="AH65" s="62">
        <f t="shared" si="7"/>
        <v>0</v>
      </c>
      <c r="AI65" s="62">
        <f t="shared" si="7"/>
        <v>0</v>
      </c>
      <c r="AJ65" s="62">
        <f t="shared" si="7"/>
        <v>0</v>
      </c>
      <c r="AK65" s="62">
        <f t="shared" si="7"/>
        <v>0</v>
      </c>
      <c r="AL65" s="62">
        <f t="shared" si="7"/>
        <v>0</v>
      </c>
      <c r="AM65" s="62">
        <f t="shared" si="7"/>
        <v>0</v>
      </c>
      <c r="AN65" s="62">
        <f t="shared" si="7"/>
        <v>0</v>
      </c>
      <c r="AO65" s="62">
        <f t="shared" si="7"/>
        <v>0</v>
      </c>
      <c r="AP65" s="62">
        <f t="shared" si="7"/>
        <v>0</v>
      </c>
      <c r="AQ65" s="62">
        <f t="shared" si="7"/>
        <v>0</v>
      </c>
      <c r="AR65" s="62">
        <f t="shared" si="7"/>
        <v>0</v>
      </c>
      <c r="AS65" s="62">
        <f t="shared" si="7"/>
        <v>0</v>
      </c>
      <c r="AT65" s="62">
        <f t="shared" si="7"/>
        <v>0</v>
      </c>
      <c r="AU65" s="62">
        <f t="shared" si="7"/>
        <v>0</v>
      </c>
      <c r="AV65" s="62">
        <f t="shared" si="7"/>
        <v>0</v>
      </c>
      <c r="AW65" s="62">
        <f t="shared" si="7"/>
        <v>0</v>
      </c>
      <c r="AX65" s="62">
        <f t="shared" si="7"/>
        <v>0</v>
      </c>
      <c r="AY65" s="62">
        <f t="shared" si="7"/>
        <v>0</v>
      </c>
      <c r="AZ65" s="62">
        <f t="shared" si="7"/>
        <v>0</v>
      </c>
      <c r="BA65" s="62">
        <f t="shared" si="7"/>
        <v>0</v>
      </c>
      <c r="BB65" s="62">
        <f t="shared" si="7"/>
        <v>0</v>
      </c>
      <c r="BC65" s="62">
        <f t="shared" si="7"/>
        <v>0</v>
      </c>
      <c r="BD65" s="62">
        <f t="shared" si="7"/>
        <v>0</v>
      </c>
      <c r="BE65" s="62">
        <f t="shared" si="7"/>
        <v>0</v>
      </c>
      <c r="BF65" s="62">
        <f t="shared" si="7"/>
        <v>0</v>
      </c>
      <c r="BG65" s="62">
        <f t="shared" si="7"/>
        <v>0</v>
      </c>
      <c r="BH65" s="38"/>
      <c r="BI65" s="111"/>
      <c r="BJ65" s="111"/>
    </row>
    <row r="66" spans="2:62" ht="15.75" customHeight="1" thickTop="1" x14ac:dyDescent="0.25">
      <c r="B66" s="60"/>
      <c r="C66" s="111"/>
      <c r="D66" s="111"/>
      <c r="E66" s="111"/>
      <c r="F66" s="111"/>
      <c r="G66" s="38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8"/>
      <c r="BI66" s="111"/>
      <c r="BJ66" s="111"/>
    </row>
    <row r="67" spans="2:62" ht="15.75" customHeight="1" thickBot="1" x14ac:dyDescent="0.3">
      <c r="B67" s="32"/>
      <c r="C67" s="111"/>
      <c r="D67" s="44" t="s">
        <v>178</v>
      </c>
      <c r="E67" s="111"/>
      <c r="F67" s="63">
        <f>F63+F65</f>
        <v>142355.76923076922</v>
      </c>
      <c r="G67" s="28"/>
      <c r="H67" s="59">
        <f>H63+H65</f>
        <v>-125288.46153846153</v>
      </c>
      <c r="I67" s="64">
        <f>H67+I46+I51+I58+I60+I65</f>
        <v>-125576.92307692306</v>
      </c>
      <c r="J67" s="64">
        <f t="shared" ref="J67:BG67" si="8">I67+J46+J51+J58+J60+J65</f>
        <v>-125865.3846153846</v>
      </c>
      <c r="K67" s="64">
        <f>J67+K46+K51+K58+K60+K65</f>
        <v>-126153.84615384613</v>
      </c>
      <c r="L67" s="64">
        <f t="shared" si="8"/>
        <v>-126442.30769230766</v>
      </c>
      <c r="M67" s="64">
        <f t="shared" si="8"/>
        <v>-126730.76923076919</v>
      </c>
      <c r="N67" s="64">
        <f t="shared" si="8"/>
        <v>-127019.23076923072</v>
      </c>
      <c r="O67" s="64">
        <f t="shared" si="8"/>
        <v>-127307.69230769225</v>
      </c>
      <c r="P67" s="64">
        <f t="shared" si="8"/>
        <v>-252884.61538461532</v>
      </c>
      <c r="Q67" s="64">
        <f t="shared" si="8"/>
        <v>-253461.53846153838</v>
      </c>
      <c r="R67" s="64">
        <f t="shared" si="8"/>
        <v>-254038.46153846144</v>
      </c>
      <c r="S67" s="64">
        <f t="shared" si="8"/>
        <v>-254615.38461538451</v>
      </c>
      <c r="T67" s="64">
        <f t="shared" si="8"/>
        <v>-255192.30769230757</v>
      </c>
      <c r="U67" s="64">
        <f t="shared" si="8"/>
        <v>-255769.23076923063</v>
      </c>
      <c r="V67" s="64">
        <f t="shared" si="8"/>
        <v>-256346.1538461537</v>
      </c>
      <c r="W67" s="64">
        <f t="shared" si="8"/>
        <v>-256923.07692307676</v>
      </c>
      <c r="X67" s="64">
        <f t="shared" si="8"/>
        <v>-257499.99999999983</v>
      </c>
      <c r="Y67" s="64">
        <f t="shared" si="8"/>
        <v>-70144.230769230591</v>
      </c>
      <c r="Z67" s="64">
        <f t="shared" si="8"/>
        <v>117355.76923076941</v>
      </c>
      <c r="AA67" s="64">
        <f t="shared" si="8"/>
        <v>217355.76923076942</v>
      </c>
      <c r="AB67" s="64">
        <f t="shared" si="8"/>
        <v>317355.76923076942</v>
      </c>
      <c r="AC67" s="64">
        <f t="shared" si="8"/>
        <v>229855.76923076942</v>
      </c>
      <c r="AD67" s="64">
        <f t="shared" si="8"/>
        <v>142355.76923076942</v>
      </c>
      <c r="AE67" s="64">
        <f t="shared" si="8"/>
        <v>142355.76923076942</v>
      </c>
      <c r="AF67" s="64">
        <f t="shared" si="8"/>
        <v>142355.76923076942</v>
      </c>
      <c r="AG67" s="64">
        <f t="shared" si="8"/>
        <v>142355.76923076942</v>
      </c>
      <c r="AH67" s="64">
        <f t="shared" si="8"/>
        <v>142355.76923076942</v>
      </c>
      <c r="AI67" s="64">
        <f t="shared" si="8"/>
        <v>142355.76923076942</v>
      </c>
      <c r="AJ67" s="64">
        <f t="shared" si="8"/>
        <v>142355.76923076942</v>
      </c>
      <c r="AK67" s="64">
        <f t="shared" si="8"/>
        <v>142355.76923076942</v>
      </c>
      <c r="AL67" s="64">
        <f t="shared" si="8"/>
        <v>142355.76923076942</v>
      </c>
      <c r="AM67" s="64">
        <f t="shared" si="8"/>
        <v>142355.76923076942</v>
      </c>
      <c r="AN67" s="64">
        <f t="shared" si="8"/>
        <v>142355.76923076942</v>
      </c>
      <c r="AO67" s="64">
        <f t="shared" si="8"/>
        <v>142355.76923076942</v>
      </c>
      <c r="AP67" s="64">
        <f t="shared" si="8"/>
        <v>142355.76923076942</v>
      </c>
      <c r="AQ67" s="64">
        <f t="shared" si="8"/>
        <v>142355.76923076942</v>
      </c>
      <c r="AR67" s="64">
        <f t="shared" si="8"/>
        <v>142355.76923076942</v>
      </c>
      <c r="AS67" s="64">
        <f t="shared" si="8"/>
        <v>142355.76923076942</v>
      </c>
      <c r="AT67" s="64">
        <f t="shared" si="8"/>
        <v>142355.76923076942</v>
      </c>
      <c r="AU67" s="64">
        <f t="shared" si="8"/>
        <v>142355.76923076942</v>
      </c>
      <c r="AV67" s="64">
        <f t="shared" si="8"/>
        <v>142355.76923076942</v>
      </c>
      <c r="AW67" s="64">
        <f t="shared" si="8"/>
        <v>142355.76923076942</v>
      </c>
      <c r="AX67" s="64">
        <f t="shared" si="8"/>
        <v>142355.76923076942</v>
      </c>
      <c r="AY67" s="64">
        <f t="shared" si="8"/>
        <v>142355.76923076942</v>
      </c>
      <c r="AZ67" s="64">
        <f t="shared" si="8"/>
        <v>142355.76923076942</v>
      </c>
      <c r="BA67" s="64">
        <f t="shared" si="8"/>
        <v>142355.76923076942</v>
      </c>
      <c r="BB67" s="64">
        <f t="shared" si="8"/>
        <v>142355.76923076942</v>
      </c>
      <c r="BC67" s="64">
        <f t="shared" si="8"/>
        <v>142355.76923076942</v>
      </c>
      <c r="BD67" s="64">
        <f t="shared" si="8"/>
        <v>142355.76923076942</v>
      </c>
      <c r="BE67" s="64">
        <f t="shared" si="8"/>
        <v>142355.76923076942</v>
      </c>
      <c r="BF67" s="64">
        <f t="shared" si="8"/>
        <v>142355.76923076942</v>
      </c>
      <c r="BG67" s="64">
        <f t="shared" si="8"/>
        <v>142355.76923076942</v>
      </c>
      <c r="BH67" s="28"/>
      <c r="BI67" s="111"/>
      <c r="BJ67" s="111"/>
    </row>
    <row r="68" spans="2:62" ht="15.75" customHeight="1" thickTop="1" x14ac:dyDescent="0.25">
      <c r="B68" s="65"/>
      <c r="C68" s="119"/>
      <c r="D68" s="119"/>
      <c r="E68" s="119"/>
      <c r="F68" s="119"/>
      <c r="G68" s="31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11"/>
      <c r="BJ68" s="111"/>
    </row>
    <row r="69" spans="2:62" ht="15" x14ac:dyDescent="0.25"/>
    <row r="70" spans="2:62" ht="15" hidden="1" x14ac:dyDescent="0.25">
      <c r="F70" s="276">
        <f>IFERROR(XIRR(H70:BB70,H37:BB37),"")</f>
        <v>5.4717332363128666</v>
      </c>
      <c r="H70" s="275">
        <f t="shared" ref="H70:BG70" si="9">H46+H51+H58+H60</f>
        <v>-125000</v>
      </c>
      <c r="I70" s="275">
        <f t="shared" si="9"/>
        <v>0</v>
      </c>
      <c r="J70" s="275">
        <f t="shared" si="9"/>
        <v>0</v>
      </c>
      <c r="K70" s="275">
        <f t="shared" si="9"/>
        <v>0</v>
      </c>
      <c r="L70" s="275">
        <f t="shared" si="9"/>
        <v>0</v>
      </c>
      <c r="M70" s="275">
        <f t="shared" si="9"/>
        <v>0</v>
      </c>
      <c r="N70" s="275">
        <f t="shared" si="9"/>
        <v>0</v>
      </c>
      <c r="O70" s="275">
        <f t="shared" si="9"/>
        <v>0</v>
      </c>
      <c r="P70" s="275">
        <f t="shared" si="9"/>
        <v>-125000</v>
      </c>
      <c r="Q70" s="275">
        <f t="shared" si="9"/>
        <v>0</v>
      </c>
      <c r="R70" s="275">
        <f t="shared" si="9"/>
        <v>0</v>
      </c>
      <c r="S70" s="275">
        <f t="shared" si="9"/>
        <v>0</v>
      </c>
      <c r="T70" s="275">
        <f t="shared" si="9"/>
        <v>0</v>
      </c>
      <c r="U70" s="275">
        <f t="shared" si="9"/>
        <v>0</v>
      </c>
      <c r="V70" s="275">
        <f t="shared" si="9"/>
        <v>0</v>
      </c>
      <c r="W70" s="275">
        <f t="shared" si="9"/>
        <v>0</v>
      </c>
      <c r="X70" s="275">
        <f t="shared" si="9"/>
        <v>0</v>
      </c>
      <c r="Y70" s="275">
        <f t="shared" si="9"/>
        <v>187500</v>
      </c>
      <c r="Z70" s="275">
        <f t="shared" si="9"/>
        <v>187500</v>
      </c>
      <c r="AA70" s="275">
        <f t="shared" si="9"/>
        <v>100000</v>
      </c>
      <c r="AB70" s="275">
        <f t="shared" si="9"/>
        <v>100000</v>
      </c>
      <c r="AC70" s="275">
        <f t="shared" si="9"/>
        <v>-87500</v>
      </c>
      <c r="AD70" s="275">
        <f t="shared" si="9"/>
        <v>-87500</v>
      </c>
      <c r="AE70" s="275">
        <f t="shared" si="9"/>
        <v>0</v>
      </c>
      <c r="AF70" s="275">
        <f t="shared" si="9"/>
        <v>0</v>
      </c>
      <c r="AG70" s="275">
        <f t="shared" si="9"/>
        <v>0</v>
      </c>
      <c r="AH70" s="275">
        <f t="shared" si="9"/>
        <v>0</v>
      </c>
      <c r="AI70" s="275">
        <f t="shared" si="9"/>
        <v>0</v>
      </c>
      <c r="AJ70" s="275">
        <f t="shared" si="9"/>
        <v>0</v>
      </c>
      <c r="AK70" s="275">
        <f t="shared" si="9"/>
        <v>0</v>
      </c>
      <c r="AL70" s="275">
        <f t="shared" si="9"/>
        <v>0</v>
      </c>
      <c r="AM70" s="275">
        <f t="shared" si="9"/>
        <v>0</v>
      </c>
      <c r="AN70" s="275">
        <f t="shared" si="9"/>
        <v>0</v>
      </c>
      <c r="AO70" s="275">
        <f t="shared" si="9"/>
        <v>0</v>
      </c>
      <c r="AP70" s="275">
        <f t="shared" si="9"/>
        <v>0</v>
      </c>
      <c r="AQ70" s="275">
        <f t="shared" si="9"/>
        <v>0</v>
      </c>
      <c r="AR70" s="275">
        <f t="shared" si="9"/>
        <v>0</v>
      </c>
      <c r="AS70" s="275">
        <f t="shared" si="9"/>
        <v>0</v>
      </c>
      <c r="AT70" s="275">
        <f t="shared" si="9"/>
        <v>0</v>
      </c>
      <c r="AU70" s="275">
        <f t="shared" si="9"/>
        <v>0</v>
      </c>
      <c r="AV70" s="275">
        <f t="shared" si="9"/>
        <v>0</v>
      </c>
      <c r="AW70" s="275">
        <f t="shared" si="9"/>
        <v>0</v>
      </c>
      <c r="AX70" s="275">
        <f t="shared" si="9"/>
        <v>0</v>
      </c>
      <c r="AY70" s="275">
        <f t="shared" si="9"/>
        <v>0</v>
      </c>
      <c r="AZ70" s="275">
        <f t="shared" si="9"/>
        <v>0</v>
      </c>
      <c r="BA70" s="275">
        <f t="shared" si="9"/>
        <v>0</v>
      </c>
      <c r="BB70" s="275">
        <f t="shared" si="9"/>
        <v>0</v>
      </c>
      <c r="BC70" s="275">
        <f t="shared" si="9"/>
        <v>0</v>
      </c>
      <c r="BD70" s="275">
        <f t="shared" si="9"/>
        <v>0</v>
      </c>
      <c r="BE70" s="275">
        <f t="shared" si="9"/>
        <v>0</v>
      </c>
      <c r="BF70" s="275">
        <f t="shared" si="9"/>
        <v>0</v>
      </c>
      <c r="BG70" s="275">
        <f t="shared" si="9"/>
        <v>0</v>
      </c>
    </row>
    <row r="71" spans="2:62" ht="15" x14ac:dyDescent="0.25"/>
    <row r="72" spans="2:62" ht="15" x14ac:dyDescent="0.25"/>
    <row r="73" spans="2:62" ht="15" x14ac:dyDescent="0.25">
      <c r="I73" s="215"/>
    </row>
    <row r="74" spans="2:62" ht="15" x14ac:dyDescent="0.25">
      <c r="I74" s="215"/>
    </row>
    <row r="75" spans="2:62" ht="15" x14ac:dyDescent="0.25">
      <c r="I75" s="215"/>
    </row>
    <row r="76" spans="2:62" ht="15" x14ac:dyDescent="0.25">
      <c r="I76" s="215"/>
      <c r="K76" s="276"/>
    </row>
    <row r="77" spans="2:62" ht="15" x14ac:dyDescent="0.25">
      <c r="I77" s="215"/>
    </row>
    <row r="78" spans="2:62" ht="15" x14ac:dyDescent="0.25"/>
  </sheetData>
  <sheetProtection algorithmName="SHA-512" hashValue="uuarb4T/L5DiXIsSV2Fl/Sp5Y556qXglhz7sUKCasBAlLeX//Q9wXdYsYHtD9M01xWXEvP8wrCbUdkgE9Y5vTQ==" saltValue="wQs6tB495Da6/PWXKdwd8A==" spinCount="100000" sheet="1" objects="1" scenarios="1"/>
  <mergeCells count="1">
    <mergeCell ref="B5:F19"/>
  </mergeCells>
  <conditionalFormatting sqref="H40:BH43">
    <cfRule type="expression" dxfId="8" priority="6">
      <formula>H40&lt;&gt;""</formula>
    </cfRule>
  </conditionalFormatting>
  <conditionalFormatting sqref="H46:BH46">
    <cfRule type="expression" dxfId="7" priority="5">
      <formula>H46&lt;&gt;0</formula>
    </cfRule>
  </conditionalFormatting>
  <conditionalFormatting sqref="H58:BH58 H60:BH60 H51:BH51">
    <cfRule type="expression" dxfId="6" priority="2">
      <formula>H51&gt;0</formula>
    </cfRule>
    <cfRule type="expression" dxfId="5" priority="4">
      <formula>H51&lt;0</formula>
    </cfRule>
  </conditionalFormatting>
  <conditionalFormatting sqref="H63:BH67">
    <cfRule type="expression" dxfId="4" priority="3">
      <formula>H63&gt;0</formula>
    </cfRule>
  </conditionalFormatting>
  <dataValidations count="1">
    <dataValidation type="list" allowBlank="1" showInputMessage="1" showErrorMessage="1" sqref="I6:I14 I17:I27" xr:uid="{4147DC6C-4CB9-42BB-A68D-106BDE401F1B}">
      <formula1>uom_list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Button 1">
              <controlPr defaultSize="0" print="0" autoFill="0" autoPict="0" macro="[0]!ToggleRowsVisibility">
                <anchor>
                  <from>
                    <xdr:col>1</xdr:col>
                    <xdr:colOff>85725</xdr:colOff>
                    <xdr:row>1</xdr:row>
                    <xdr:rowOff>66675</xdr:rowOff>
                  </from>
                  <to>
                    <xdr:col>3</xdr:col>
                    <xdr:colOff>933450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4" name="Button 3">
              <controlPr defaultSize="0" print="0" autoFill="0" autoPict="0" macro="[0]!ToggleColumnWidth">
                <anchor>
                  <from>
                    <xdr:col>3</xdr:col>
                    <xdr:colOff>1171575</xdr:colOff>
                    <xdr:row>1</xdr:row>
                    <xdr:rowOff>76200</xdr:rowOff>
                  </from>
                  <to>
                    <xdr:col>5</xdr:col>
                    <xdr:colOff>781050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5" name="Button 4">
              <controlPr defaultSize="0" print="0" autoFill="0" autoPict="0" macro="[0]!HideAndGoToSalesTbls">
                <anchor moveWithCells="1">
                  <from>
                    <xdr:col>6</xdr:col>
                    <xdr:colOff>57150</xdr:colOff>
                    <xdr:row>28</xdr:row>
                    <xdr:rowOff>66675</xdr:rowOff>
                  </from>
                  <to>
                    <xdr:col>7</xdr:col>
                    <xdr:colOff>962025</xdr:colOff>
                    <xdr:row>29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6" name="Button 5">
              <controlPr defaultSize="0" print="0" autoFill="0" autoPict="0" macro="[0]!RefreshSheetDataShared">
                <anchor moveWithCells="1">
                  <from>
                    <xdr:col>8</xdr:col>
                    <xdr:colOff>180975</xdr:colOff>
                    <xdr:row>28</xdr:row>
                    <xdr:rowOff>66675</xdr:rowOff>
                  </from>
                  <to>
                    <xdr:col>9</xdr:col>
                    <xdr:colOff>733425</xdr:colOff>
                    <xdr:row>29</xdr:row>
                    <xdr:rowOff>133350</xdr:rowOff>
                  </to>
                </anchor>
              </controlPr>
            </control>
          </mc:Choice>
        </mc:AlternateContent>
      </controls>
    </mc:Choice>
  </mc:AlternateContent>
  <tableParts count="2"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6E30A36-CCF1-4B40-A0A4-AC3451656F1F}">
            <xm:f>Overview!$D$17="ZAR"</xm:f>
            <x14:dxf>
              <numFmt numFmtId="34" formatCode="_-&quot;R&quot;* #,##0.00_-;\-&quot;R&quot;* #,##0.00_-;_-&quot;R&quot;* &quot;-&quot;??_-;_-@_-"/>
            </x14:dxf>
          </x14:cfRule>
          <xm:sqref>H46:BG46 H48:BG49 H51:BG51 H53:BG56 H58:BG58 H60:BG60 F60 F58 F53:F56 F51 F48:F49 F46 F63 F65 F67 H63:BG63 H65:BG65 H67:BG67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58097E-C7E7-4378-9ED4-FD8994EBB955}">
          <x14:formula1>
            <xm:f>Overview!$D$6</xm:f>
          </x14:formula1>
          <xm:sqref>H6:H14</xm:sqref>
        </x14:dataValidation>
        <x14:dataValidation type="list" allowBlank="1" showInputMessage="1" showErrorMessage="1" xr:uid="{C4D5A45B-B94D-402B-878A-F00E87CC0B41}">
          <x14:formula1>
            <xm:f>Overview!$S$7:$S$16</xm:f>
          </x14:formula1>
          <xm:sqref>H17:H27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CE8-27C1-429B-A890-DE4EC665B3C4}">
  <sheetPr codeName="Sheet5"/>
  <dimension ref="A1:G2"/>
  <sheetViews>
    <sheetView showGridLines="0" workbookViewId="0">
      <selection activeCell="G18" sqref="G18"/>
    </sheetView>
  </sheetViews>
  <sheetFormatPr defaultRowHeight="15" x14ac:dyDescent="0.25"/>
  <cols>
    <col min="1" max="1" width="6.85546875" bestFit="1" customWidth="1"/>
    <col min="2" max="2" width="8" bestFit="1" customWidth="1"/>
    <col min="3" max="3" width="16.5703125" bestFit="1" customWidth="1"/>
    <col min="4" max="4" width="7.7109375" bestFit="1" customWidth="1"/>
    <col min="5" max="5" width="11" bestFit="1" customWidth="1"/>
    <col min="6" max="7" width="12.7109375" bestFit="1" customWidth="1"/>
    <col min="8" max="8" width="9.28515625" customWidth="1"/>
  </cols>
  <sheetData>
    <row r="1" spans="1:7" x14ac:dyDescent="0.25">
      <c r="A1" t="s">
        <v>179</v>
      </c>
      <c r="B1" t="s">
        <v>61</v>
      </c>
      <c r="C1" t="s">
        <v>11</v>
      </c>
      <c r="D1" t="s">
        <v>56</v>
      </c>
      <c r="E1" t="s">
        <v>12</v>
      </c>
      <c r="F1" t="s">
        <v>88</v>
      </c>
      <c r="G1" t="s">
        <v>92</v>
      </c>
    </row>
    <row r="2" spans="1:7" x14ac:dyDescent="0.25">
      <c r="A2">
        <v>1</v>
      </c>
      <c r="B2" t="s">
        <v>11</v>
      </c>
      <c r="C2" t="s">
        <v>1275</v>
      </c>
      <c r="D2" t="s">
        <v>68</v>
      </c>
      <c r="E2">
        <v>1000</v>
      </c>
      <c r="F2">
        <v>600</v>
      </c>
      <c r="G2">
        <v>600000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0776-4294-4607-91EB-15A69264F8A7}">
  <sheetPr codeName="Sheet10">
    <pageSetUpPr fitToPage="1"/>
  </sheetPr>
  <dimension ref="A1:S49"/>
  <sheetViews>
    <sheetView showGridLines="0" view="pageBreakPreview" zoomScaleNormal="90" zoomScaleSheetLayoutView="100" workbookViewId="0">
      <selection activeCell="L34" sqref="L34:O34"/>
    </sheetView>
  </sheetViews>
  <sheetFormatPr defaultColWidth="9.140625" defaultRowHeight="15" x14ac:dyDescent="0.3"/>
  <cols>
    <col min="1" max="1" width="40.7109375" style="163" customWidth="1"/>
    <col min="2" max="4" width="14.28515625" style="163" customWidth="1"/>
    <col min="5" max="5" width="15.140625" style="163" customWidth="1"/>
    <col min="6" max="6" width="27.42578125" style="163" customWidth="1"/>
    <col min="7" max="9" width="2.7109375" style="163" customWidth="1"/>
    <col min="10" max="10" width="9.140625" style="163"/>
    <col min="11" max="11" width="11.42578125" style="163" customWidth="1"/>
    <col min="12" max="12" width="9.140625" style="163"/>
    <col min="13" max="13" width="10.42578125" style="163" bestFit="1" customWidth="1"/>
    <col min="14" max="16384" width="9.140625" style="163"/>
  </cols>
  <sheetData>
    <row r="1" spans="1:19" ht="42" customHeight="1" thickBot="1" x14ac:dyDescent="0.4">
      <c r="A1" s="161"/>
      <c r="B1" s="162"/>
      <c r="C1" s="161"/>
      <c r="D1" s="379" t="s">
        <v>180</v>
      </c>
      <c r="E1" s="379"/>
      <c r="F1" s="379"/>
      <c r="G1" s="202"/>
      <c r="H1" s="202"/>
    </row>
    <row r="2" spans="1:19" ht="15" customHeight="1" x14ac:dyDescent="0.35">
      <c r="A2" s="161"/>
      <c r="B2" s="162"/>
      <c r="C2" s="164"/>
      <c r="D2" s="379"/>
      <c r="E2" s="379"/>
      <c r="F2" s="379"/>
      <c r="G2" s="202"/>
      <c r="H2" s="202"/>
      <c r="I2" s="384" t="s">
        <v>181</v>
      </c>
      <c r="J2" s="385"/>
      <c r="K2" s="385"/>
      <c r="L2" s="385"/>
      <c r="M2" s="385"/>
      <c r="N2" s="385"/>
      <c r="O2" s="385"/>
      <c r="P2" s="385"/>
      <c r="Q2" s="385"/>
      <c r="R2" s="385"/>
      <c r="S2" s="386"/>
    </row>
    <row r="3" spans="1:19" ht="16.5" customHeight="1" x14ac:dyDescent="0.35">
      <c r="A3" s="165"/>
      <c r="B3" s="162"/>
      <c r="C3" s="164"/>
      <c r="D3" s="379"/>
      <c r="E3" s="379"/>
      <c r="F3" s="379"/>
      <c r="G3" s="202"/>
      <c r="H3" s="202"/>
      <c r="I3" s="387"/>
      <c r="J3" s="388"/>
      <c r="K3" s="388"/>
      <c r="L3" s="388"/>
      <c r="M3" s="388"/>
      <c r="N3" s="388"/>
      <c r="O3" s="388"/>
      <c r="P3" s="388"/>
      <c r="Q3" s="388"/>
      <c r="R3" s="388"/>
      <c r="S3" s="389"/>
    </row>
    <row r="4" spans="1:19" ht="16.5" customHeight="1" thickBot="1" x14ac:dyDescent="0.4">
      <c r="A4" s="165"/>
      <c r="B4" s="162"/>
      <c r="C4" s="164"/>
      <c r="D4" s="379"/>
      <c r="E4" s="379"/>
      <c r="F4" s="379"/>
      <c r="G4" s="202"/>
      <c r="H4" s="202"/>
      <c r="I4" s="390"/>
      <c r="J4" s="391"/>
      <c r="K4" s="391"/>
      <c r="L4" s="391"/>
      <c r="M4" s="391"/>
      <c r="N4" s="391"/>
      <c r="O4" s="391"/>
      <c r="P4" s="391"/>
      <c r="Q4" s="391"/>
      <c r="R4" s="391"/>
      <c r="S4" s="392"/>
    </row>
    <row r="5" spans="1:19" ht="15.75" customHeight="1" x14ac:dyDescent="0.35">
      <c r="A5" s="166" t="s">
        <v>182</v>
      </c>
      <c r="B5" s="162"/>
      <c r="C5" s="164"/>
      <c r="D5" s="379"/>
      <c r="E5" s="379"/>
      <c r="F5" s="379"/>
      <c r="G5" s="202"/>
      <c r="H5" s="202"/>
    </row>
    <row r="6" spans="1:19" ht="16.5" thickBot="1" x14ac:dyDescent="0.4">
      <c r="A6" s="162" t="s">
        <v>183</v>
      </c>
      <c r="B6" s="161"/>
      <c r="C6" s="161"/>
      <c r="D6" s="161"/>
      <c r="E6" s="167" t="s">
        <v>184</v>
      </c>
      <c r="F6" s="260" t="str">
        <f>CONCATENATE("QUO - ",RIGHT(Overview!D6,5))</f>
        <v>QUO - 10001</v>
      </c>
      <c r="G6" s="200"/>
      <c r="H6" s="200"/>
      <c r="I6" s="204"/>
      <c r="J6" s="205"/>
      <c r="K6" s="205"/>
      <c r="L6" s="205"/>
      <c r="M6" s="205"/>
      <c r="N6" s="205"/>
      <c r="O6" s="205"/>
      <c r="P6" s="205"/>
      <c r="Q6" s="205"/>
      <c r="R6" s="205"/>
      <c r="S6" s="206"/>
    </row>
    <row r="7" spans="1:19" ht="16.5" customHeight="1" thickBot="1" x14ac:dyDescent="0.4">
      <c r="A7" s="162" t="s">
        <v>185</v>
      </c>
      <c r="B7" s="164"/>
      <c r="C7" s="164"/>
      <c r="D7" s="161"/>
      <c r="E7" s="167" t="s">
        <v>186</v>
      </c>
      <c r="F7" s="261">
        <f ca="1">TODAY()</f>
        <v>45968</v>
      </c>
      <c r="G7" s="168"/>
      <c r="H7" s="168"/>
      <c r="I7" s="207"/>
      <c r="J7" s="208"/>
      <c r="M7" s="342" t="s">
        <v>187</v>
      </c>
      <c r="N7" s="343"/>
      <c r="O7" s="344"/>
      <c r="Q7" s="347" t="s">
        <v>188</v>
      </c>
      <c r="R7" s="347"/>
      <c r="S7" s="348"/>
    </row>
    <row r="8" spans="1:19" ht="16.5" thickBot="1" x14ac:dyDescent="0.4">
      <c r="A8" s="162" t="s">
        <v>189</v>
      </c>
      <c r="B8" s="164"/>
      <c r="C8" s="164"/>
      <c r="D8" s="161"/>
      <c r="E8" s="167" t="s">
        <v>190</v>
      </c>
      <c r="F8" s="261">
        <f ca="1">IF(N8="",F7+7,N8)</f>
        <v>45975</v>
      </c>
      <c r="G8" s="168"/>
      <c r="H8" s="168"/>
      <c r="I8" s="207"/>
      <c r="M8" s="219" t="s">
        <v>191</v>
      </c>
      <c r="N8" s="345"/>
      <c r="O8" s="346"/>
      <c r="Q8" s="347"/>
      <c r="R8" s="347"/>
      <c r="S8" s="348"/>
    </row>
    <row r="9" spans="1:19" ht="16.5" thickBot="1" x14ac:dyDescent="0.4">
      <c r="A9" s="164" t="s">
        <v>192</v>
      </c>
      <c r="B9" s="164"/>
      <c r="C9" s="164"/>
      <c r="D9" s="161"/>
      <c r="E9" s="167" t="s">
        <v>193</v>
      </c>
      <c r="F9" s="260" t="str">
        <f>CONCATENATE(Overview!D20, " ",Overview!D13)</f>
        <v>DAP Kolwezi</v>
      </c>
      <c r="G9" s="200"/>
      <c r="H9" s="200"/>
      <c r="I9" s="207"/>
      <c r="Q9" s="347"/>
      <c r="R9" s="347"/>
      <c r="S9" s="348"/>
    </row>
    <row r="10" spans="1:19" ht="16.5" thickBot="1" x14ac:dyDescent="0.4">
      <c r="A10" s="164" t="s">
        <v>194</v>
      </c>
      <c r="B10" s="164"/>
      <c r="C10" s="164"/>
      <c r="D10" s="161"/>
      <c r="E10" s="161"/>
      <c r="F10" s="161"/>
      <c r="G10" s="161"/>
      <c r="H10" s="161"/>
      <c r="I10" s="207"/>
      <c r="M10" s="342" t="s">
        <v>195</v>
      </c>
      <c r="N10" s="343"/>
      <c r="O10" s="344"/>
      <c r="Q10" s="347" t="s">
        <v>196</v>
      </c>
      <c r="R10" s="347"/>
      <c r="S10" s="348"/>
    </row>
    <row r="11" spans="1:19" ht="16.5" thickBot="1" x14ac:dyDescent="0.4">
      <c r="A11" s="164" t="s">
        <v>197</v>
      </c>
      <c r="B11" s="164"/>
      <c r="C11" s="161"/>
      <c r="D11" s="161"/>
      <c r="E11" s="161"/>
      <c r="F11" s="161"/>
      <c r="G11" s="161"/>
      <c r="H11" s="161"/>
      <c r="I11" s="207"/>
      <c r="M11" s="219" t="s">
        <v>198</v>
      </c>
      <c r="N11" s="345"/>
      <c r="O11" s="346"/>
      <c r="Q11" s="347"/>
      <c r="R11" s="347"/>
      <c r="S11" s="348"/>
    </row>
    <row r="12" spans="1:19" ht="16.5" thickBot="1" x14ac:dyDescent="0.4">
      <c r="A12" s="164"/>
      <c r="B12" s="164"/>
      <c r="C12" s="164"/>
      <c r="D12" s="161"/>
      <c r="E12" s="161"/>
      <c r="F12" s="169"/>
      <c r="G12" s="169"/>
      <c r="H12" s="169"/>
      <c r="I12" s="207"/>
      <c r="Q12" s="347"/>
      <c r="R12" s="347"/>
      <c r="S12" s="348"/>
    </row>
    <row r="13" spans="1:19" ht="17.25" customHeight="1" thickBot="1" x14ac:dyDescent="0.4">
      <c r="A13" s="170" t="s">
        <v>199</v>
      </c>
      <c r="B13" s="164"/>
      <c r="C13" s="164"/>
      <c r="D13" s="161"/>
      <c r="E13" s="380" t="s">
        <v>200</v>
      </c>
      <c r="F13" s="380"/>
      <c r="G13" s="170"/>
      <c r="H13" s="170"/>
      <c r="I13" s="207"/>
      <c r="J13" s="352" t="s">
        <v>201</v>
      </c>
      <c r="K13" s="353"/>
      <c r="L13" s="353"/>
      <c r="M13" s="353"/>
      <c r="N13" s="353"/>
      <c r="O13" s="354"/>
      <c r="Q13" s="349" t="s">
        <v>202</v>
      </c>
      <c r="R13" s="349"/>
      <c r="S13" s="395"/>
    </row>
    <row r="14" spans="1:19" ht="17.25" thickBot="1" x14ac:dyDescent="0.4">
      <c r="A14" s="171" t="str">
        <f>Overview!D8</f>
        <v>Aurora Interiors</v>
      </c>
      <c r="B14" s="172"/>
      <c r="C14" s="164"/>
      <c r="D14" s="161"/>
      <c r="E14" s="171" t="str">
        <f>CONCATENATE(Overview!D20, " ",Overview!D13)</f>
        <v>DAP Kolwezi</v>
      </c>
      <c r="F14" s="169"/>
      <c r="G14" s="169"/>
      <c r="H14" s="169"/>
      <c r="I14" s="207"/>
      <c r="J14" s="338" t="s">
        <v>203</v>
      </c>
      <c r="K14" s="339"/>
      <c r="L14" s="340" t="s">
        <v>1560</v>
      </c>
      <c r="M14" s="340"/>
      <c r="N14" s="340"/>
      <c r="O14" s="341"/>
      <c r="Q14" s="349"/>
      <c r="R14" s="349"/>
      <c r="S14" s="395"/>
    </row>
    <row r="15" spans="1:19" ht="17.25" thickBot="1" x14ac:dyDescent="0.4">
      <c r="A15" s="269"/>
      <c r="B15" s="172"/>
      <c r="C15" s="164"/>
      <c r="D15" s="161"/>
      <c r="E15" s="164" t="str">
        <f>IF(L14="","",CONCATENATE(L14," Delivery"))</f>
        <v>February 2026 Delivery</v>
      </c>
      <c r="F15" s="169"/>
      <c r="G15" s="169"/>
      <c r="H15" s="169"/>
      <c r="I15" s="207"/>
      <c r="S15" s="209"/>
    </row>
    <row r="16" spans="1:19" ht="17.25" thickBot="1" x14ac:dyDescent="0.4">
      <c r="A16" s="269"/>
      <c r="B16" s="172"/>
      <c r="C16" s="164"/>
      <c r="D16" s="161"/>
      <c r="E16" s="195"/>
      <c r="F16" s="196" t="str">
        <f>IF(Overview!D17="","",CONCATENATE("Currency: ", IF(N11="Yes", M11, Overview!D17)))</f>
        <v>Currency: USD</v>
      </c>
      <c r="G16" s="196"/>
      <c r="H16" s="196"/>
      <c r="I16" s="207"/>
      <c r="J16" s="352" t="s">
        <v>204</v>
      </c>
      <c r="K16" s="353"/>
      <c r="L16" s="353"/>
      <c r="M16" s="353"/>
      <c r="N16" s="353"/>
      <c r="O16" s="354"/>
      <c r="Q16" s="349" t="s">
        <v>205</v>
      </c>
      <c r="R16" s="349"/>
      <c r="S16" s="395"/>
    </row>
    <row r="17" spans="1:19" ht="17.25" thickBot="1" x14ac:dyDescent="0.4">
      <c r="A17" s="269"/>
      <c r="B17" s="172"/>
      <c r="C17" s="164"/>
      <c r="D17" s="161"/>
      <c r="E17" s="195"/>
      <c r="F17" s="196"/>
      <c r="G17" s="196"/>
      <c r="H17" s="161"/>
      <c r="I17" s="207"/>
      <c r="J17" s="338" t="s">
        <v>206</v>
      </c>
      <c r="K17" s="339"/>
      <c r="L17" s="340" t="s">
        <v>1561</v>
      </c>
      <c r="M17" s="340"/>
      <c r="N17" s="340"/>
      <c r="O17" s="341"/>
      <c r="Q17" s="349"/>
      <c r="R17" s="349"/>
      <c r="S17" s="395"/>
    </row>
    <row r="18" spans="1:19" ht="16.5" x14ac:dyDescent="0.35">
      <c r="B18" s="172"/>
      <c r="C18" s="164"/>
      <c r="D18" s="161"/>
      <c r="E18" s="195"/>
      <c r="F18" s="196"/>
      <c r="G18" s="196"/>
      <c r="H18" s="176"/>
      <c r="I18" s="207"/>
      <c r="S18" s="209"/>
    </row>
    <row r="19" spans="1:19" ht="17.25" thickBot="1" x14ac:dyDescent="0.4">
      <c r="A19" s="173" t="str">
        <f>IF(L17="","",CONCATENATE(J17," ",L17))</f>
        <v>Attention: Mr Smith</v>
      </c>
      <c r="B19" s="172"/>
      <c r="C19" s="164"/>
      <c r="D19" s="161"/>
      <c r="E19" s="161"/>
      <c r="F19" s="161"/>
      <c r="G19" s="161"/>
      <c r="H19" s="181"/>
      <c r="I19" s="207"/>
      <c r="S19" s="209"/>
    </row>
    <row r="20" spans="1:19" ht="17.25" thickBot="1" x14ac:dyDescent="0.4">
      <c r="A20" s="170" t="s">
        <v>53</v>
      </c>
      <c r="B20" s="174"/>
      <c r="C20" s="174" t="s">
        <v>12</v>
      </c>
      <c r="D20" s="174" t="s">
        <v>56</v>
      </c>
      <c r="E20" s="175" t="s">
        <v>207</v>
      </c>
      <c r="F20" s="176" t="s">
        <v>16</v>
      </c>
      <c r="G20" s="176"/>
      <c r="H20" s="181"/>
      <c r="I20" s="207"/>
      <c r="J20" s="352" t="s">
        <v>208</v>
      </c>
      <c r="K20" s="353"/>
      <c r="L20" s="353"/>
      <c r="M20" s="353"/>
      <c r="N20" s="353"/>
      <c r="O20" s="354"/>
      <c r="S20" s="209"/>
    </row>
    <row r="21" spans="1:19" ht="18" customHeight="1" x14ac:dyDescent="0.35">
      <c r="A21" s="177"/>
      <c r="B21" s="164"/>
      <c r="C21" s="178"/>
      <c r="D21" s="179"/>
      <c r="E21" s="180"/>
      <c r="F21" s="181"/>
      <c r="G21" s="181"/>
      <c r="H21" s="181"/>
      <c r="I21" s="207"/>
      <c r="J21" s="393" t="s">
        <v>209</v>
      </c>
      <c r="K21" s="394"/>
      <c r="L21" s="253">
        <v>2</v>
      </c>
      <c r="S21" s="209"/>
    </row>
    <row r="22" spans="1:19" ht="18" customHeight="1" x14ac:dyDescent="0.35">
      <c r="A22" s="218" t="str">
        <f>IF($L$21="",K24,
   IF($L$21=1,K24,
   IF($L$21=2,K25,
   IF($L$21=3,K26,
   IF($L$21=4,K27,
   K28
)))))</f>
        <v>Calcium Sulphate (Dihydrate (Gypsum))</v>
      </c>
      <c r="B22" s="164"/>
      <c r="C22" s="197">
        <f>SUM(stock_cost[Quantity])</f>
        <v>1000</v>
      </c>
      <c r="D22" s="179" t="str">
        <f>INDEX(stock_cost[UoM],1)</f>
        <v>MT</v>
      </c>
      <c r="E22" s="180">
        <f>'Sales Tbls - One Prod'!$E$8</f>
        <v>950</v>
      </c>
      <c r="F22" s="181">
        <f>'Sales Tbls - One Prod'!$G$8</f>
        <v>950000</v>
      </c>
      <c r="G22" s="181"/>
      <c r="H22" s="181"/>
      <c r="I22" s="207"/>
      <c r="S22" s="209"/>
    </row>
    <row r="23" spans="1:19" ht="18" customHeight="1" x14ac:dyDescent="0.35">
      <c r="A23" s="182"/>
      <c r="B23" s="164"/>
      <c r="C23" s="178"/>
      <c r="D23" s="179"/>
      <c r="E23" s="180"/>
      <c r="F23" s="181"/>
      <c r="G23" s="181"/>
      <c r="H23" s="181"/>
      <c r="I23" s="207"/>
      <c r="J23" s="214" t="s">
        <v>210</v>
      </c>
      <c r="K23" s="357" t="s">
        <v>53</v>
      </c>
      <c r="L23" s="357"/>
      <c r="M23" s="357"/>
      <c r="N23" s="357"/>
      <c r="P23" s="350" t="s">
        <v>211</v>
      </c>
      <c r="Q23" s="350"/>
      <c r="R23" s="350"/>
      <c r="S23" s="209"/>
    </row>
    <row r="24" spans="1:19" ht="18" customHeight="1" x14ac:dyDescent="0.35">
      <c r="A24" s="182"/>
      <c r="B24" s="164"/>
      <c r="C24" s="178"/>
      <c r="D24" s="179"/>
      <c r="E24" s="180"/>
      <c r="F24" s="181"/>
      <c r="G24" s="181"/>
      <c r="H24" s="181"/>
      <c r="I24" s="207"/>
      <c r="J24" s="203">
        <v>1</v>
      </c>
      <c r="K24" s="356" t="str">
        <f>'Stock Cost'!D6</f>
        <v>Calcium Sulphate</v>
      </c>
      <c r="L24" s="356"/>
      <c r="M24" s="356"/>
      <c r="N24" s="356"/>
      <c r="P24" s="350"/>
      <c r="Q24" s="350"/>
      <c r="R24" s="350"/>
      <c r="S24" s="209"/>
    </row>
    <row r="25" spans="1:19" ht="18" customHeight="1" x14ac:dyDescent="0.35">
      <c r="A25" s="182"/>
      <c r="B25" s="164"/>
      <c r="C25" s="178"/>
      <c r="D25" s="179"/>
      <c r="E25" s="180"/>
      <c r="F25" s="181"/>
      <c r="G25" s="181"/>
      <c r="H25" s="181"/>
      <c r="I25" s="207"/>
      <c r="J25" s="203">
        <v>2</v>
      </c>
      <c r="K25" s="355" t="str">
        <f>CONCATENATE('Stock Cost'!D6," (",'Stock Cost'!E6,")")</f>
        <v>Calcium Sulphate (Dihydrate (Gypsum))</v>
      </c>
      <c r="L25" s="355"/>
      <c r="M25" s="355"/>
      <c r="N25" s="355"/>
      <c r="P25" s="350"/>
      <c r="Q25" s="350"/>
      <c r="R25" s="350"/>
      <c r="S25" s="209"/>
    </row>
    <row r="26" spans="1:19" ht="18" customHeight="1" x14ac:dyDescent="0.35">
      <c r="A26" s="182"/>
      <c r="B26" s="164"/>
      <c r="C26" s="178"/>
      <c r="D26" s="179"/>
      <c r="E26" s="180"/>
      <c r="F26" s="181"/>
      <c r="G26" s="181"/>
      <c r="H26" s="181"/>
      <c r="I26" s="207"/>
      <c r="J26" s="203">
        <v>3</v>
      </c>
      <c r="K26" s="355" t="str">
        <f>CONCATENATE('Stock Cost'!D6," (",'Stock Cost'!G6,")")</f>
        <v>Calcium Sulphate (1 MT Bulk Bags)</v>
      </c>
      <c r="L26" s="355"/>
      <c r="M26" s="355"/>
      <c r="N26" s="355"/>
      <c r="P26" s="350"/>
      <c r="Q26" s="350"/>
      <c r="R26" s="350"/>
      <c r="S26" s="209"/>
    </row>
    <row r="27" spans="1:19" ht="18" customHeight="1" x14ac:dyDescent="0.35">
      <c r="A27" s="182"/>
      <c r="B27" s="164"/>
      <c r="C27" s="178"/>
      <c r="D27" s="179"/>
      <c r="E27" s="180"/>
      <c r="F27" s="181"/>
      <c r="G27" s="181"/>
      <c r="H27" s="181"/>
      <c r="I27" s="207"/>
      <c r="J27" s="203">
        <v>4</v>
      </c>
      <c r="K27" s="355" t="str">
        <f>CONCATENATE('Stock Cost'!D6," (","HS Code: ",'Stock Cost'!F6,")")</f>
        <v>Calcium Sulphate (HS Code: 2520.10)</v>
      </c>
      <c r="L27" s="355"/>
      <c r="M27" s="355"/>
      <c r="N27" s="355"/>
      <c r="P27" s="350"/>
      <c r="Q27" s="350"/>
      <c r="R27" s="350"/>
      <c r="S27" s="209"/>
    </row>
    <row r="28" spans="1:19" ht="18" customHeight="1" x14ac:dyDescent="0.35">
      <c r="A28" s="182"/>
      <c r="B28" s="164"/>
      <c r="C28" s="178"/>
      <c r="D28" s="179"/>
      <c r="E28" s="180"/>
      <c r="F28" s="181"/>
      <c r="G28" s="181"/>
      <c r="H28" s="181"/>
      <c r="I28" s="207"/>
      <c r="J28" s="203">
        <v>5</v>
      </c>
      <c r="K28" s="355" t="str">
        <f>CONCATENATE('Stock Cost'!D6," - ",'Stock Cost'!E6," - ",'Stock Cost'!G6)</f>
        <v>Calcium Sulphate - Dihydrate (Gypsum) - 1 MT Bulk Bags</v>
      </c>
      <c r="L28" s="355"/>
      <c r="M28" s="355"/>
      <c r="N28" s="355"/>
      <c r="P28" s="350"/>
      <c r="Q28" s="350"/>
      <c r="R28" s="350"/>
      <c r="S28" s="209"/>
    </row>
    <row r="29" spans="1:19" ht="18" customHeight="1" x14ac:dyDescent="0.35">
      <c r="A29" s="182"/>
      <c r="B29" s="164"/>
      <c r="C29" s="178"/>
      <c r="D29" s="179"/>
      <c r="E29" s="180"/>
      <c r="F29" s="181"/>
      <c r="G29" s="181"/>
      <c r="H29" s="181"/>
      <c r="I29" s="207"/>
      <c r="S29" s="209"/>
    </row>
    <row r="30" spans="1:19" ht="18" customHeight="1" thickBot="1" x14ac:dyDescent="0.4">
      <c r="A30" s="182"/>
      <c r="B30" s="164"/>
      <c r="C30" s="178"/>
      <c r="D30" s="179"/>
      <c r="E30" s="180"/>
      <c r="F30" s="181"/>
      <c r="G30" s="181"/>
      <c r="H30" s="181"/>
      <c r="I30" s="207"/>
      <c r="S30" s="209"/>
    </row>
    <row r="31" spans="1:19" ht="18" customHeight="1" thickBot="1" x14ac:dyDescent="0.4">
      <c r="A31" s="182"/>
      <c r="B31" s="164"/>
      <c r="C31" s="178"/>
      <c r="D31" s="179"/>
      <c r="E31" s="180"/>
      <c r="F31" s="181"/>
      <c r="G31" s="181"/>
      <c r="H31" s="181"/>
      <c r="I31" s="207"/>
      <c r="J31" s="352" t="s">
        <v>212</v>
      </c>
      <c r="K31" s="353"/>
      <c r="L31" s="353"/>
      <c r="M31" s="353"/>
      <c r="N31" s="353"/>
      <c r="O31" s="354"/>
      <c r="S31" s="209"/>
    </row>
    <row r="32" spans="1:19" ht="18" customHeight="1" x14ac:dyDescent="0.35">
      <c r="A32" s="182"/>
      <c r="B32" s="164"/>
      <c r="C32" s="178"/>
      <c r="D32" s="179"/>
      <c r="E32" s="180"/>
      <c r="F32" s="181"/>
      <c r="G32" s="181"/>
      <c r="H32" s="181"/>
      <c r="I32" s="207"/>
      <c r="J32" s="366" t="s">
        <v>213</v>
      </c>
      <c r="K32" s="367"/>
      <c r="L32" s="364" t="s">
        <v>892</v>
      </c>
      <c r="M32" s="364"/>
      <c r="N32" s="364"/>
      <c r="O32" s="365"/>
      <c r="Q32" s="350" t="s">
        <v>214</v>
      </c>
      <c r="R32" s="350"/>
      <c r="S32" s="351"/>
    </row>
    <row r="33" spans="1:19" ht="18" customHeight="1" x14ac:dyDescent="0.35">
      <c r="B33" s="164"/>
      <c r="C33" s="178"/>
      <c r="D33" s="179"/>
      <c r="E33" s="180"/>
      <c r="F33" s="181"/>
      <c r="G33" s="181"/>
      <c r="H33" s="181"/>
      <c r="I33" s="207"/>
      <c r="J33" s="382" t="s">
        <v>215</v>
      </c>
      <c r="K33" s="383"/>
      <c r="L33" s="362" t="s">
        <v>892</v>
      </c>
      <c r="M33" s="362"/>
      <c r="N33" s="362"/>
      <c r="O33" s="363"/>
      <c r="Q33" s="350"/>
      <c r="R33" s="350"/>
      <c r="S33" s="351"/>
    </row>
    <row r="34" spans="1:19" ht="18" customHeight="1" thickBot="1" x14ac:dyDescent="0.4">
      <c r="A34" s="182" t="str">
        <f>IF(L32="","",CONCATENATE(J32," ",L32))</f>
        <v>Country of Origin: Saudi Arabia</v>
      </c>
      <c r="B34" s="164"/>
      <c r="C34" s="178"/>
      <c r="D34" s="179"/>
      <c r="E34" s="180"/>
      <c r="F34" s="181"/>
      <c r="G34" s="181"/>
      <c r="H34" s="181"/>
      <c r="I34" s="207"/>
      <c r="J34" s="358" t="s">
        <v>216</v>
      </c>
      <c r="K34" s="359"/>
      <c r="L34" s="360"/>
      <c r="M34" s="360"/>
      <c r="N34" s="360"/>
      <c r="O34" s="361"/>
      <c r="Q34" s="350"/>
      <c r="R34" s="350"/>
      <c r="S34" s="351"/>
    </row>
    <row r="35" spans="1:19" ht="16.5" x14ac:dyDescent="0.35">
      <c r="A35" s="182" t="str">
        <f>IF(L33="","",CONCATENATE(J33," ",L33))</f>
        <v>Country of Inspection: Saudi Arabia</v>
      </c>
      <c r="B35" s="164"/>
      <c r="C35" s="178"/>
      <c r="D35" s="179"/>
      <c r="E35" s="180"/>
      <c r="F35" s="181"/>
      <c r="G35" s="181"/>
      <c r="H35" s="198"/>
      <c r="I35" s="207"/>
      <c r="S35" s="209"/>
    </row>
    <row r="36" spans="1:19" ht="16.5" x14ac:dyDescent="0.35">
      <c r="A36" s="182" t="str">
        <f>IF(L34="","",L34)</f>
        <v/>
      </c>
      <c r="B36" s="164"/>
      <c r="C36" s="178"/>
      <c r="D36" s="179"/>
      <c r="E36" s="180"/>
      <c r="F36" s="181"/>
      <c r="G36" s="181"/>
      <c r="H36" s="198"/>
      <c r="I36" s="207"/>
      <c r="S36" s="209"/>
    </row>
    <row r="37" spans="1:19" ht="16.5" x14ac:dyDescent="0.35">
      <c r="A37" s="167"/>
      <c r="B37" s="183"/>
      <c r="C37" s="184"/>
      <c r="D37" s="161"/>
      <c r="E37" s="185" t="s">
        <v>217</v>
      </c>
      <c r="F37" s="198">
        <f>SUM(F21:F36)</f>
        <v>950000</v>
      </c>
      <c r="G37" s="198"/>
      <c r="H37" s="199"/>
      <c r="I37" s="207"/>
      <c r="S37" s="209"/>
    </row>
    <row r="38" spans="1:19" ht="17.25" thickBot="1" x14ac:dyDescent="0.4">
      <c r="A38" s="167"/>
      <c r="B38" s="183"/>
      <c r="C38" s="184"/>
      <c r="D38" s="161"/>
      <c r="E38" s="185" t="s">
        <v>158</v>
      </c>
      <c r="F38" s="198">
        <f>IF(OR(Overview!D17="USD", N11="Yes"), 0, F37*15%)</f>
        <v>0</v>
      </c>
      <c r="G38" s="198"/>
      <c r="H38" s="188"/>
      <c r="I38" s="207"/>
      <c r="S38" s="209"/>
    </row>
    <row r="39" spans="1:19" ht="17.25" thickBot="1" x14ac:dyDescent="0.4">
      <c r="A39" s="167"/>
      <c r="B39" s="183"/>
      <c r="C39" s="184"/>
      <c r="D39" s="161"/>
      <c r="E39" s="186" t="s">
        <v>218</v>
      </c>
      <c r="F39" s="199">
        <f>SUM(F37:F38)</f>
        <v>950000</v>
      </c>
      <c r="G39" s="199"/>
      <c r="H39" s="189"/>
      <c r="I39" s="207"/>
      <c r="J39" s="342" t="s">
        <v>219</v>
      </c>
      <c r="K39" s="343"/>
      <c r="L39" s="343"/>
      <c r="M39" s="344"/>
      <c r="S39" s="209"/>
    </row>
    <row r="40" spans="1:19" ht="15.75" customHeight="1" x14ac:dyDescent="0.35">
      <c r="A40" s="161"/>
      <c r="B40" s="164"/>
      <c r="C40" s="184"/>
      <c r="D40" s="187"/>
      <c r="E40" s="161"/>
      <c r="F40" s="188"/>
      <c r="G40" s="188"/>
      <c r="H40" s="190"/>
      <c r="I40" s="207"/>
      <c r="J40" s="376"/>
      <c r="K40" s="377"/>
      <c r="L40" s="377"/>
      <c r="M40" s="378"/>
      <c r="S40" s="209"/>
    </row>
    <row r="41" spans="1:19" ht="15" customHeight="1" x14ac:dyDescent="0.35">
      <c r="A41" s="189" t="s">
        <v>220</v>
      </c>
      <c r="B41" s="161"/>
      <c r="C41" s="164"/>
      <c r="D41" s="381" t="s">
        <v>221</v>
      </c>
      <c r="E41" s="381"/>
      <c r="F41" s="381"/>
      <c r="G41" s="189"/>
      <c r="H41" s="191"/>
      <c r="I41" s="207"/>
      <c r="J41" s="368"/>
      <c r="K41" s="369"/>
      <c r="L41" s="369"/>
      <c r="M41" s="370"/>
      <c r="S41" s="209"/>
    </row>
    <row r="42" spans="1:19" ht="16.5" customHeight="1" x14ac:dyDescent="0.35">
      <c r="A42" s="371" t="str">
        <f t="shared" ref="A42:A48" si="0">IF(J40="","",J40)</f>
        <v/>
      </c>
      <c r="B42" s="372"/>
      <c r="C42" s="164"/>
      <c r="D42" s="396" t="str">
        <f>CONCATENATE("Payment Due: ",Overview!D16)</f>
        <v>Payment Due: 15 Days after Delivery</v>
      </c>
      <c r="E42" s="396"/>
      <c r="F42" s="396"/>
      <c r="G42" s="190"/>
      <c r="H42" s="192"/>
      <c r="I42" s="207"/>
      <c r="J42" s="368"/>
      <c r="K42" s="369"/>
      <c r="L42" s="369"/>
      <c r="M42" s="370"/>
      <c r="O42" s="349" t="s">
        <v>222</v>
      </c>
      <c r="P42" s="349"/>
      <c r="Q42" s="349"/>
      <c r="S42" s="209"/>
    </row>
    <row r="43" spans="1:19" ht="16.5" customHeight="1" x14ac:dyDescent="0.35">
      <c r="A43" s="371" t="str">
        <f t="shared" si="0"/>
        <v/>
      </c>
      <c r="B43" s="372"/>
      <c r="C43" s="164"/>
      <c r="D43" s="161"/>
      <c r="E43" s="191"/>
      <c r="F43" s="191"/>
      <c r="G43" s="191"/>
      <c r="H43" s="193"/>
      <c r="I43" s="207"/>
      <c r="J43" s="368"/>
      <c r="K43" s="369"/>
      <c r="L43" s="369"/>
      <c r="M43" s="370"/>
      <c r="O43" s="349"/>
      <c r="P43" s="349"/>
      <c r="Q43" s="349"/>
      <c r="S43" s="209"/>
    </row>
    <row r="44" spans="1:19" ht="16.5" customHeight="1" x14ac:dyDescent="0.35">
      <c r="A44" s="371" t="str">
        <f t="shared" si="0"/>
        <v/>
      </c>
      <c r="B44" s="372"/>
      <c r="C44" s="164"/>
      <c r="D44" s="398" t="s">
        <v>223</v>
      </c>
      <c r="E44" s="398"/>
      <c r="F44" s="398"/>
      <c r="G44" s="192"/>
      <c r="H44" s="194"/>
      <c r="I44" s="207"/>
      <c r="J44" s="368"/>
      <c r="K44" s="369"/>
      <c r="L44" s="369"/>
      <c r="M44" s="370"/>
      <c r="O44" s="349"/>
      <c r="P44" s="349"/>
      <c r="Q44" s="349"/>
      <c r="S44" s="209"/>
    </row>
    <row r="45" spans="1:19" ht="16.5" customHeight="1" x14ac:dyDescent="0.35">
      <c r="A45" s="371" t="str">
        <f t="shared" si="0"/>
        <v/>
      </c>
      <c r="B45" s="372"/>
      <c r="C45" s="164"/>
      <c r="D45" s="193"/>
      <c r="E45" s="193"/>
      <c r="F45" s="193"/>
      <c r="G45" s="193"/>
      <c r="H45" s="194"/>
      <c r="I45" s="207"/>
      <c r="J45" s="368"/>
      <c r="K45" s="369"/>
      <c r="L45" s="369"/>
      <c r="M45" s="370"/>
      <c r="S45" s="209"/>
    </row>
    <row r="46" spans="1:19" ht="15.75" customHeight="1" thickBot="1" x14ac:dyDescent="0.4">
      <c r="A46" s="371" t="str">
        <f t="shared" si="0"/>
        <v/>
      </c>
      <c r="B46" s="372"/>
      <c r="C46" s="164"/>
      <c r="D46" s="397" t="s">
        <v>1559</v>
      </c>
      <c r="E46" s="397"/>
      <c r="F46" s="397"/>
      <c r="G46" s="194"/>
      <c r="H46" s="194"/>
      <c r="I46" s="207"/>
      <c r="J46" s="373"/>
      <c r="K46" s="374"/>
      <c r="L46" s="374"/>
      <c r="M46" s="375"/>
      <c r="S46" s="209"/>
    </row>
    <row r="47" spans="1:19" ht="15.75" x14ac:dyDescent="0.35">
      <c r="A47" s="371" t="str">
        <f t="shared" si="0"/>
        <v/>
      </c>
      <c r="B47" s="372"/>
      <c r="C47" s="164"/>
      <c r="D47" s="397"/>
      <c r="E47" s="397"/>
      <c r="F47" s="397"/>
      <c r="G47" s="194"/>
      <c r="H47" s="194"/>
      <c r="I47" s="210"/>
      <c r="J47" s="211"/>
      <c r="K47" s="211"/>
      <c r="L47" s="211"/>
      <c r="M47" s="211"/>
      <c r="N47" s="211"/>
      <c r="O47" s="211"/>
      <c r="P47" s="211"/>
      <c r="Q47" s="211"/>
      <c r="R47" s="211"/>
      <c r="S47" s="212"/>
    </row>
    <row r="48" spans="1:19" ht="15.75" x14ac:dyDescent="0.35">
      <c r="A48" s="371" t="str">
        <f t="shared" si="0"/>
        <v/>
      </c>
      <c r="B48" s="372"/>
      <c r="C48" s="161"/>
      <c r="D48" s="397"/>
      <c r="E48" s="397"/>
      <c r="F48" s="397"/>
      <c r="G48" s="194"/>
    </row>
    <row r="49" spans="1:7" ht="15.75" x14ac:dyDescent="0.35">
      <c r="A49" s="201"/>
      <c r="B49" s="201"/>
      <c r="C49" s="161"/>
      <c r="D49" s="397"/>
      <c r="E49" s="397"/>
      <c r="F49" s="397"/>
      <c r="G49" s="194"/>
    </row>
  </sheetData>
  <mergeCells count="54">
    <mergeCell ref="A42:B42"/>
    <mergeCell ref="D42:F42"/>
    <mergeCell ref="A45:B45"/>
    <mergeCell ref="A46:B46"/>
    <mergeCell ref="D46:F49"/>
    <mergeCell ref="A47:B47"/>
    <mergeCell ref="A48:B48"/>
    <mergeCell ref="A44:B44"/>
    <mergeCell ref="D44:F44"/>
    <mergeCell ref="J39:M39"/>
    <mergeCell ref="J40:M40"/>
    <mergeCell ref="J41:M41"/>
    <mergeCell ref="J42:M42"/>
    <mergeCell ref="D1:F5"/>
    <mergeCell ref="E13:F13"/>
    <mergeCell ref="D41:F41"/>
    <mergeCell ref="J33:K33"/>
    <mergeCell ref="I2:S4"/>
    <mergeCell ref="J21:K21"/>
    <mergeCell ref="J13:O13"/>
    <mergeCell ref="J14:K14"/>
    <mergeCell ref="L14:O14"/>
    <mergeCell ref="Q13:S14"/>
    <mergeCell ref="Q16:S17"/>
    <mergeCell ref="J16:O16"/>
    <mergeCell ref="J43:M43"/>
    <mergeCell ref="J44:M44"/>
    <mergeCell ref="J45:M45"/>
    <mergeCell ref="A43:B43"/>
    <mergeCell ref="J46:M46"/>
    <mergeCell ref="O42:Q44"/>
    <mergeCell ref="Q32:S34"/>
    <mergeCell ref="J20:O20"/>
    <mergeCell ref="K28:N28"/>
    <mergeCell ref="K27:N27"/>
    <mergeCell ref="K26:N26"/>
    <mergeCell ref="K25:N25"/>
    <mergeCell ref="K24:N24"/>
    <mergeCell ref="K23:N23"/>
    <mergeCell ref="P23:R28"/>
    <mergeCell ref="J34:K34"/>
    <mergeCell ref="J31:O31"/>
    <mergeCell ref="L34:O34"/>
    <mergeCell ref="L33:O33"/>
    <mergeCell ref="L32:O32"/>
    <mergeCell ref="J32:K32"/>
    <mergeCell ref="J17:K17"/>
    <mergeCell ref="L17:O17"/>
    <mergeCell ref="M7:O7"/>
    <mergeCell ref="N8:O8"/>
    <mergeCell ref="Q7:S9"/>
    <mergeCell ref="M10:O10"/>
    <mergeCell ref="N11:O11"/>
    <mergeCell ref="Q10:S12"/>
  </mergeCells>
  <dataValidations count="6">
    <dataValidation type="list" allowBlank="1" showInputMessage="1" showErrorMessage="1" sqref="L32:L33" xr:uid="{55A45B21-11C6-4A87-A965-38766D04D189}">
      <formula1>countries</formula1>
    </dataValidation>
    <dataValidation allowBlank="1" showInputMessage="1" showErrorMessage="1" promptTitle="Other Comment" prompt="Type Text in this field and it will appear on the quote underneath the country detail_x000a_" sqref="L34" xr:uid="{98AB6BCF-BA0F-4CE2-9373-1B54836A11AC}"/>
    <dataValidation allowBlank="1" showInputMessage="1" showErrorMessage="1" promptTitle="Addressed to" prompt="Enter Name of Person quote is addressed to" sqref="L17:O17" xr:uid="{FB3DADF2-877C-4D47-9AF6-382F3F0D8560}"/>
    <dataValidation type="list" allowBlank="1" showInputMessage="1" showErrorMessage="1" sqref="L21" xr:uid="{DBC34F4A-7BCE-43ED-84E5-6EB105F0EE6A}">
      <formula1>Quote_Choice</formula1>
    </dataValidation>
    <dataValidation type="list" allowBlank="1" showInputMessage="1" showErrorMessage="1" sqref="L14:O14" xr:uid="{0F1F0350-1596-4008-ADB6-0FA09514A10B}">
      <formula1>month_del</formula1>
    </dataValidation>
    <dataValidation type="date" operator="greaterThan" allowBlank="1" showInputMessage="1" showErrorMessage="1" sqref="N8:O8" xr:uid="{3D7494FF-E4DD-4E38-8E5D-1AC8B085117A}">
      <formula1>TODAY()</formula1>
    </dataValidation>
  </dataValidations>
  <printOptions horizontalCentered="1"/>
  <pageMargins left="0.31496062992125984" right="0.31496062992125984" top="0.31496062992125984" bottom="0.31496062992125984" header="0.31496062992125984" footer="0.23622047244094488"/>
  <pageSetup paperSize="9" scale="76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50" r:id="rId4" name="Button 22">
              <controlPr defaultSize="0" print="0" autoFill="0" autoPict="0" macro="[0]!ExportToPDFAndEmailsglprod">
                <anchor moveWithCells="1" sizeWithCells="1">
                  <from>
                    <xdr:col>9</xdr:col>
                    <xdr:colOff>76200</xdr:colOff>
                    <xdr:row>6</xdr:row>
                    <xdr:rowOff>28575</xdr:rowOff>
                  </from>
                  <to>
                    <xdr:col>11</xdr:col>
                    <xdr:colOff>171450</xdr:colOff>
                    <xdr:row>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1" r:id="rId5" name="Button 23">
              <controlPr defaultSize="0" print="0" autoFill="0" autoPict="0" macro="[0]!HideAndGoToSalesTbls">
                <anchor moveWithCells="1" sizeWithCells="1">
                  <from>
                    <xdr:col>9</xdr:col>
                    <xdr:colOff>66675</xdr:colOff>
                    <xdr:row>9</xdr:row>
                    <xdr:rowOff>0</xdr:rowOff>
                  </from>
                  <to>
                    <xdr:col>11</xdr:col>
                    <xdr:colOff>171450</xdr:colOff>
                    <xdr:row>11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53B435D-CFC0-4945-B182-2496E68D732F}">
            <xm:f>Overview!$D$17="USD"</xm:f>
            <x14:dxf>
              <numFmt numFmtId="183" formatCode="_-[$USD]\ * #,##0.00_-;\-[$USD]\ * #,##0.00_-;_-[$USD]\ * &quot;-&quot;??_-;_-@_-"/>
            </x14:dxf>
          </x14:cfRule>
          <x14:cfRule type="expression" priority="3" id="{A52EBD3F-BEAF-48DC-ACB3-8B3D8A7381E9}">
            <xm:f>Overview!$D$17="ZAR"</xm:f>
            <x14:dxf>
              <numFmt numFmtId="34" formatCode="_-&quot;R&quot;* #,##0.00_-;\-&quot;R&quot;* #,##0.00_-;_-&quot;R&quot;* &quot;-&quot;??_-;_-@_-"/>
            </x14:dxf>
          </x14:cfRule>
          <xm:sqref>H35:H37 F37:G39</xm:sqref>
        </x14:conditionalFormatting>
        <x14:conditionalFormatting xmlns:xm="http://schemas.microsoft.com/office/excel/2006/main">
          <x14:cfRule type="expression" priority="1" id="{716D22EC-29D6-48C6-A5A7-06707BD6D1C0}">
            <xm:f>AND(Overview!$D$17="ZAR", $N$11="Yes")</xm:f>
            <x14:dxf>
              <numFmt numFmtId="184" formatCode="[$NAD]\ #,##0.00"/>
            </x14:dxf>
          </x14:cfRule>
          <xm:sqref>F37:F39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8927DB-0133-43CF-8203-78D263ED4027}">
          <x14:formula1>
            <xm:f>'Data Lists'!$P$8:$P$9</xm:f>
          </x14:formula1>
          <xm:sqref>N11:O11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4A7D-BB9B-43FA-8D1F-7A32363BE690}">
  <sheetPr codeName="Sheet19"/>
  <dimension ref="B1:J4"/>
  <sheetViews>
    <sheetView showGridLines="0" workbookViewId="0">
      <selection activeCell="B28" sqref="B28"/>
    </sheetView>
  </sheetViews>
  <sheetFormatPr defaultRowHeight="15" x14ac:dyDescent="0.25"/>
  <cols>
    <col min="3" max="3" width="14.7109375" bestFit="1" customWidth="1"/>
    <col min="4" max="4" width="18.7109375" bestFit="1" customWidth="1"/>
    <col min="5" max="5" width="18.42578125" bestFit="1" customWidth="1"/>
    <col min="6" max="6" width="15.42578125" bestFit="1" customWidth="1"/>
    <col min="7" max="7" width="10.140625" bestFit="1" customWidth="1"/>
    <col min="8" max="8" width="16.7109375" bestFit="1" customWidth="1"/>
    <col min="9" max="9" width="16" bestFit="1" customWidth="1"/>
    <col min="10" max="10" width="12.42578125" bestFit="1" customWidth="1"/>
  </cols>
  <sheetData>
    <row r="1" spans="2:10" ht="17.25" customHeight="1" x14ac:dyDescent="0.25"/>
    <row r="2" spans="2:10" x14ac:dyDescent="0.25">
      <c r="B2" s="215"/>
      <c r="C2" s="215"/>
    </row>
    <row r="3" spans="2:10" x14ac:dyDescent="0.25">
      <c r="C3" s="85" t="s">
        <v>82</v>
      </c>
      <c r="D3" s="85" t="s">
        <v>225</v>
      </c>
      <c r="E3" s="85" t="s">
        <v>226</v>
      </c>
      <c r="F3" s="85" t="s">
        <v>61</v>
      </c>
      <c r="G3" s="85" t="s">
        <v>12</v>
      </c>
      <c r="H3" s="85" t="s">
        <v>19</v>
      </c>
      <c r="I3" s="85" t="s">
        <v>22</v>
      </c>
      <c r="J3" s="85" t="s">
        <v>26</v>
      </c>
    </row>
    <row r="4" spans="2:10" x14ac:dyDescent="0.25">
      <c r="C4" s="85"/>
      <c r="D4" s="251"/>
      <c r="E4" s="251"/>
      <c r="F4" s="85"/>
      <c r="G4" s="252"/>
      <c r="H4" s="252"/>
      <c r="I4" s="252"/>
      <c r="J4" s="252"/>
    </row>
  </sheetData>
  <sheetProtection algorithmName="SHA-512" hashValue="o7r662Ij0yMJEZLVJ0z2/ndPkrduX3/4SFYa5/3thb305HVEcFT/xvpkMUiw59Jp5E+T7RS54LfkNZb3+PZZPQ==" saltValue="zI0gRyuHWqVtorRXj1AFNg==" spinCount="100000"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3E16-8B46-451C-8094-2E015CC6B032}">
  <sheetPr codeName="Sheet8"/>
  <dimension ref="B2:Y251"/>
  <sheetViews>
    <sheetView showGridLines="0" topLeftCell="E1" workbookViewId="0">
      <selection activeCell="N16" sqref="N16"/>
    </sheetView>
  </sheetViews>
  <sheetFormatPr defaultRowHeight="15" x14ac:dyDescent="0.25"/>
  <cols>
    <col min="2" max="2" width="18.42578125" customWidth="1"/>
    <col min="3" max="3" width="31.5703125" bestFit="1" customWidth="1"/>
    <col min="5" max="5" width="18.140625" bestFit="1" customWidth="1"/>
    <col min="7" max="7" width="21.5703125" bestFit="1" customWidth="1"/>
    <col min="9" max="9" width="12.28515625" customWidth="1"/>
    <col min="11" max="11" width="14.140625" bestFit="1" customWidth="1"/>
    <col min="12" max="12" width="10.28515625" customWidth="1"/>
    <col min="13" max="13" width="8.140625" customWidth="1"/>
    <col min="14" max="14" width="13.5703125" customWidth="1"/>
    <col min="16" max="16" width="11" customWidth="1"/>
    <col min="18" max="18" width="49.42578125" bestFit="1" customWidth="1"/>
    <col min="19" max="20" width="14" customWidth="1"/>
    <col min="22" max="22" width="9.85546875" bestFit="1" customWidth="1"/>
    <col min="23" max="23" width="15.42578125" bestFit="1" customWidth="1"/>
    <col min="24" max="24" width="12.85546875" bestFit="1" customWidth="1"/>
    <col min="25" max="25" width="28.140625" bestFit="1" customWidth="1"/>
  </cols>
  <sheetData>
    <row r="2" spans="2:25" x14ac:dyDescent="0.25">
      <c r="B2" t="s">
        <v>24</v>
      </c>
      <c r="C2" t="s">
        <v>227</v>
      </c>
      <c r="E2" t="s">
        <v>83</v>
      </c>
      <c r="G2" t="s">
        <v>228</v>
      </c>
      <c r="I2" t="s">
        <v>229</v>
      </c>
      <c r="K2" t="s">
        <v>13</v>
      </c>
      <c r="L2" t="s">
        <v>230</v>
      </c>
      <c r="N2" t="s">
        <v>39</v>
      </c>
      <c r="P2" t="s">
        <v>71</v>
      </c>
      <c r="R2" t="s">
        <v>227</v>
      </c>
      <c r="S2" t="s">
        <v>231</v>
      </c>
      <c r="T2" t="s">
        <v>232</v>
      </c>
      <c r="V2" s="215">
        <f ca="1">TODAY()</f>
        <v>45968</v>
      </c>
      <c r="X2" t="s">
        <v>233</v>
      </c>
      <c r="Y2" t="s">
        <v>234</v>
      </c>
    </row>
    <row r="3" spans="2:25" x14ac:dyDescent="0.25">
      <c r="B3" s="83" t="s">
        <v>235</v>
      </c>
      <c r="C3" s="83" t="s">
        <v>236</v>
      </c>
      <c r="E3" s="83" t="s">
        <v>96</v>
      </c>
      <c r="G3" s="83" t="s">
        <v>237</v>
      </c>
      <c r="I3" s="83" t="s">
        <v>238</v>
      </c>
      <c r="K3" s="83" t="s">
        <v>239</v>
      </c>
      <c r="L3" s="83" t="s">
        <v>1562</v>
      </c>
      <c r="N3" s="83" t="s">
        <v>40</v>
      </c>
      <c r="P3" s="83" t="s">
        <v>8</v>
      </c>
      <c r="R3" t="s">
        <v>241</v>
      </c>
      <c r="S3" t="s">
        <v>242</v>
      </c>
      <c r="T3" t="s">
        <v>243</v>
      </c>
      <c r="X3" t="s">
        <v>244</v>
      </c>
      <c r="Y3" s="217" t="s">
        <v>245</v>
      </c>
    </row>
    <row r="4" spans="2:25" x14ac:dyDescent="0.25">
      <c r="B4" s="83" t="s">
        <v>246</v>
      </c>
      <c r="C4" s="83" t="s">
        <v>247</v>
      </c>
      <c r="E4" s="83" t="s">
        <v>74</v>
      </c>
      <c r="G4" s="83" t="s">
        <v>248</v>
      </c>
      <c r="I4" s="83" t="s">
        <v>249</v>
      </c>
      <c r="K4" s="83" t="s">
        <v>250</v>
      </c>
      <c r="L4" s="83" t="s">
        <v>1563</v>
      </c>
      <c r="N4" s="83" t="s">
        <v>252</v>
      </c>
      <c r="P4" s="83" t="s">
        <v>9</v>
      </c>
      <c r="R4" t="s">
        <v>253</v>
      </c>
      <c r="S4" t="s">
        <v>254</v>
      </c>
      <c r="T4" t="s">
        <v>255</v>
      </c>
      <c r="V4" t="s">
        <v>256</v>
      </c>
    </row>
    <row r="5" spans="2:25" x14ac:dyDescent="0.25">
      <c r="B5" s="83" t="s">
        <v>257</v>
      </c>
      <c r="C5" s="83" t="s">
        <v>258</v>
      </c>
      <c r="E5" s="83" t="s">
        <v>85</v>
      </c>
      <c r="I5" s="83" t="s">
        <v>259</v>
      </c>
      <c r="K5" s="83" t="s">
        <v>260</v>
      </c>
      <c r="L5" s="83" t="s">
        <v>1564</v>
      </c>
      <c r="N5" s="83" t="s">
        <v>261</v>
      </c>
      <c r="R5" t="s">
        <v>262</v>
      </c>
      <c r="S5" t="s">
        <v>263</v>
      </c>
      <c r="T5" t="s">
        <v>264</v>
      </c>
      <c r="V5" s="215">
        <f ca="1">V2</f>
        <v>45968</v>
      </c>
      <c r="W5" t="str">
        <f ca="1">TEXT(V5, "mmmm YYYY")</f>
        <v>November 2025</v>
      </c>
    </row>
    <row r="6" spans="2:25" x14ac:dyDescent="0.25">
      <c r="B6" s="83" t="s">
        <v>265</v>
      </c>
      <c r="C6" s="83" t="s">
        <v>266</v>
      </c>
      <c r="E6" s="83" t="s">
        <v>97</v>
      </c>
      <c r="I6" s="83" t="s">
        <v>68</v>
      </c>
      <c r="K6" s="83" t="s">
        <v>14</v>
      </c>
      <c r="L6" s="83" t="s">
        <v>1565</v>
      </c>
      <c r="N6" s="83" t="s">
        <v>267</v>
      </c>
      <c r="R6" t="s">
        <v>268</v>
      </c>
      <c r="S6" t="s">
        <v>269</v>
      </c>
      <c r="T6" t="s">
        <v>270</v>
      </c>
      <c r="V6" s="215">
        <f ca="1">V5+31</f>
        <v>45999</v>
      </c>
      <c r="W6" t="str">
        <f t="shared" ref="W6:W20" ca="1" si="0">TEXT(V6, "mmmm YYYY")</f>
        <v>December 2025</v>
      </c>
    </row>
    <row r="7" spans="2:25" x14ac:dyDescent="0.25">
      <c r="B7" s="83" t="s">
        <v>271</v>
      </c>
      <c r="C7" s="83" t="s">
        <v>266</v>
      </c>
      <c r="E7" s="83" t="s">
        <v>55</v>
      </c>
      <c r="I7" s="83" t="s">
        <v>272</v>
      </c>
      <c r="K7" s="83" t="s">
        <v>273</v>
      </c>
      <c r="L7" s="83" t="s">
        <v>1566</v>
      </c>
      <c r="N7" s="83" t="s">
        <v>275</v>
      </c>
      <c r="P7" t="s">
        <v>276</v>
      </c>
      <c r="R7" t="s">
        <v>277</v>
      </c>
      <c r="S7" t="s">
        <v>278</v>
      </c>
      <c r="T7" t="s">
        <v>279</v>
      </c>
      <c r="V7" s="215">
        <f t="shared" ref="V7:V20" ca="1" si="1">V6+31</f>
        <v>46030</v>
      </c>
      <c r="W7" t="str">
        <f t="shared" ca="1" si="0"/>
        <v>January 2026</v>
      </c>
    </row>
    <row r="8" spans="2:25" x14ac:dyDescent="0.25">
      <c r="B8" s="83" t="s">
        <v>280</v>
      </c>
      <c r="C8" s="83" t="s">
        <v>281</v>
      </c>
      <c r="E8" s="83" t="s">
        <v>86</v>
      </c>
      <c r="I8" s="83" t="s">
        <v>282</v>
      </c>
      <c r="K8" s="83" t="s">
        <v>283</v>
      </c>
      <c r="L8" s="83" t="s">
        <v>1567</v>
      </c>
      <c r="N8" s="83" t="s">
        <v>285</v>
      </c>
      <c r="P8" t="s">
        <v>286</v>
      </c>
      <c r="R8" t="s">
        <v>287</v>
      </c>
      <c r="S8" t="s">
        <v>288</v>
      </c>
      <c r="T8" t="s">
        <v>289</v>
      </c>
      <c r="V8" s="215">
        <f t="shared" ca="1" si="1"/>
        <v>46061</v>
      </c>
      <c r="W8" t="str">
        <f t="shared" ca="1" si="0"/>
        <v>February 2026</v>
      </c>
    </row>
    <row r="9" spans="2:25" x14ac:dyDescent="0.25">
      <c r="B9" s="83" t="s">
        <v>80</v>
      </c>
      <c r="C9" s="83" t="s">
        <v>258</v>
      </c>
      <c r="I9" s="83" t="s">
        <v>290</v>
      </c>
      <c r="K9" s="83" t="s">
        <v>291</v>
      </c>
      <c r="L9" s="83" t="s">
        <v>1568</v>
      </c>
      <c r="N9" s="83" t="s">
        <v>292</v>
      </c>
      <c r="P9" t="s">
        <v>224</v>
      </c>
      <c r="R9" t="s">
        <v>293</v>
      </c>
      <c r="S9" t="s">
        <v>294</v>
      </c>
      <c r="T9" t="s">
        <v>295</v>
      </c>
      <c r="V9" s="215">
        <f t="shared" ca="1" si="1"/>
        <v>46092</v>
      </c>
      <c r="W9" t="str">
        <f t="shared" ca="1" si="0"/>
        <v>March 2026</v>
      </c>
    </row>
    <row r="10" spans="2:25" x14ac:dyDescent="0.25">
      <c r="B10" s="83" t="s">
        <v>296</v>
      </c>
      <c r="C10" s="83" t="s">
        <v>258</v>
      </c>
      <c r="K10" s="83" t="s">
        <v>297</v>
      </c>
      <c r="L10" s="83" t="s">
        <v>1569</v>
      </c>
      <c r="N10" s="83" t="s">
        <v>299</v>
      </c>
      <c r="R10" t="s">
        <v>300</v>
      </c>
      <c r="S10" t="s">
        <v>301</v>
      </c>
      <c r="T10" t="s">
        <v>302</v>
      </c>
      <c r="V10" s="215">
        <f t="shared" ca="1" si="1"/>
        <v>46123</v>
      </c>
      <c r="W10" t="str">
        <f t="shared" ca="1" si="0"/>
        <v>April 2026</v>
      </c>
    </row>
    <row r="11" spans="2:25" x14ac:dyDescent="0.25">
      <c r="B11" s="83" t="s">
        <v>303</v>
      </c>
      <c r="C11" s="83" t="s">
        <v>236</v>
      </c>
      <c r="E11" t="s">
        <v>304</v>
      </c>
      <c r="N11" s="83" t="s">
        <v>305</v>
      </c>
      <c r="R11" t="s">
        <v>306</v>
      </c>
      <c r="S11" t="s">
        <v>307</v>
      </c>
      <c r="T11" t="s">
        <v>308</v>
      </c>
      <c r="V11" s="215">
        <f t="shared" ca="1" si="1"/>
        <v>46154</v>
      </c>
      <c r="W11" t="str">
        <f t="shared" ca="1" si="0"/>
        <v>May 2026</v>
      </c>
    </row>
    <row r="12" spans="2:25" x14ac:dyDescent="0.25">
      <c r="B12" s="83" t="s">
        <v>309</v>
      </c>
      <c r="C12" s="83" t="s">
        <v>258</v>
      </c>
      <c r="E12" s="213">
        <v>1</v>
      </c>
      <c r="N12" s="83" t="s">
        <v>310</v>
      </c>
      <c r="R12" t="s">
        <v>311</v>
      </c>
      <c r="S12" t="s">
        <v>312</v>
      </c>
      <c r="T12" t="s">
        <v>313</v>
      </c>
      <c r="V12" s="215">
        <f t="shared" ca="1" si="1"/>
        <v>46185</v>
      </c>
      <c r="W12" t="str">
        <f t="shared" ca="1" si="0"/>
        <v>June 2026</v>
      </c>
    </row>
    <row r="13" spans="2:25" x14ac:dyDescent="0.25">
      <c r="B13" s="83" t="s">
        <v>314</v>
      </c>
      <c r="C13" s="83" t="s">
        <v>315</v>
      </c>
      <c r="E13" s="213">
        <v>2</v>
      </c>
      <c r="N13" s="83" t="s">
        <v>316</v>
      </c>
      <c r="R13" t="s">
        <v>317</v>
      </c>
      <c r="S13" t="s">
        <v>318</v>
      </c>
      <c r="T13" t="s">
        <v>319</v>
      </c>
      <c r="V13" s="215">
        <f t="shared" ca="1" si="1"/>
        <v>46216</v>
      </c>
      <c r="W13" t="str">
        <f t="shared" ca="1" si="0"/>
        <v>July 2026</v>
      </c>
    </row>
    <row r="14" spans="2:25" x14ac:dyDescent="0.25">
      <c r="B14" s="83" t="s">
        <v>320</v>
      </c>
      <c r="C14" s="83" t="s">
        <v>266</v>
      </c>
      <c r="E14" s="213">
        <v>3</v>
      </c>
      <c r="R14" t="s">
        <v>321</v>
      </c>
      <c r="S14" t="s">
        <v>322</v>
      </c>
      <c r="T14" t="s">
        <v>323</v>
      </c>
      <c r="V14" s="215">
        <f t="shared" ca="1" si="1"/>
        <v>46247</v>
      </c>
      <c r="W14" t="str">
        <f t="shared" ca="1" si="0"/>
        <v>August 2026</v>
      </c>
    </row>
    <row r="15" spans="2:25" x14ac:dyDescent="0.25">
      <c r="B15" s="83" t="s">
        <v>324</v>
      </c>
      <c r="C15" s="83" t="s">
        <v>315</v>
      </c>
      <c r="E15" s="213">
        <v>4</v>
      </c>
      <c r="R15" t="s">
        <v>325</v>
      </c>
      <c r="S15" t="s">
        <v>240</v>
      </c>
      <c r="T15" t="s">
        <v>326</v>
      </c>
      <c r="V15" s="215">
        <f t="shared" ca="1" si="1"/>
        <v>46278</v>
      </c>
      <c r="W15" t="str">
        <f t="shared" ca="1" si="0"/>
        <v>September 2026</v>
      </c>
    </row>
    <row r="16" spans="2:25" x14ac:dyDescent="0.25">
      <c r="B16" s="83" t="s">
        <v>327</v>
      </c>
      <c r="C16" s="83" t="s">
        <v>315</v>
      </c>
      <c r="E16" s="213">
        <v>5</v>
      </c>
      <c r="R16" t="s">
        <v>328</v>
      </c>
      <c r="S16" t="s">
        <v>329</v>
      </c>
      <c r="T16" t="s">
        <v>330</v>
      </c>
      <c r="V16" s="215">
        <f t="shared" ca="1" si="1"/>
        <v>46309</v>
      </c>
      <c r="W16" t="str">
        <f t="shared" ca="1" si="0"/>
        <v>October 2026</v>
      </c>
    </row>
    <row r="17" spans="2:23" x14ac:dyDescent="0.25">
      <c r="B17" s="83" t="s">
        <v>331</v>
      </c>
      <c r="C17" s="83" t="s">
        <v>266</v>
      </c>
      <c r="R17" t="s">
        <v>332</v>
      </c>
      <c r="S17" t="s">
        <v>333</v>
      </c>
      <c r="T17" t="s">
        <v>334</v>
      </c>
      <c r="V17" s="215">
        <f t="shared" ca="1" si="1"/>
        <v>46340</v>
      </c>
      <c r="W17" t="str">
        <f t="shared" ca="1" si="0"/>
        <v>November 2026</v>
      </c>
    </row>
    <row r="18" spans="2:23" x14ac:dyDescent="0.25">
      <c r="B18" s="83" t="s">
        <v>25</v>
      </c>
      <c r="C18" s="83" t="s">
        <v>315</v>
      </c>
      <c r="R18" t="s">
        <v>335</v>
      </c>
      <c r="S18" t="s">
        <v>336</v>
      </c>
      <c r="T18" t="s">
        <v>337</v>
      </c>
      <c r="V18" s="215">
        <f t="shared" ca="1" si="1"/>
        <v>46371</v>
      </c>
      <c r="W18" t="str">
        <f t="shared" ca="1" si="0"/>
        <v>December 2026</v>
      </c>
    </row>
    <row r="19" spans="2:23" x14ac:dyDescent="0.25">
      <c r="B19" s="83" t="s">
        <v>338</v>
      </c>
      <c r="C19" s="83" t="s">
        <v>315</v>
      </c>
      <c r="R19" t="s">
        <v>339</v>
      </c>
      <c r="S19" t="s">
        <v>340</v>
      </c>
      <c r="T19" t="s">
        <v>341</v>
      </c>
      <c r="V19" s="215">
        <f t="shared" ca="1" si="1"/>
        <v>46402</v>
      </c>
      <c r="W19" t="str">
        <f t="shared" ca="1" si="0"/>
        <v>January 2027</v>
      </c>
    </row>
    <row r="20" spans="2:23" x14ac:dyDescent="0.25">
      <c r="B20" s="83" t="s">
        <v>342</v>
      </c>
      <c r="C20" s="83" t="s">
        <v>315</v>
      </c>
      <c r="G20" s="216" t="str" cm="1">
        <f t="array" ref="G20">GetUsername()</f>
        <v>Andrew Earle</v>
      </c>
      <c r="R20" t="s">
        <v>343</v>
      </c>
      <c r="S20" t="s">
        <v>344</v>
      </c>
      <c r="T20" t="s">
        <v>345</v>
      </c>
      <c r="V20" s="215">
        <f t="shared" ca="1" si="1"/>
        <v>46433</v>
      </c>
      <c r="W20" t="str">
        <f t="shared" ca="1" si="0"/>
        <v>February 2027</v>
      </c>
    </row>
    <row r="21" spans="2:23" x14ac:dyDescent="0.25">
      <c r="B21" s="83" t="s">
        <v>346</v>
      </c>
      <c r="C21" s="83" t="s">
        <v>315</v>
      </c>
      <c r="R21" t="s">
        <v>347</v>
      </c>
      <c r="S21" t="s">
        <v>348</v>
      </c>
      <c r="T21" t="s">
        <v>349</v>
      </c>
    </row>
    <row r="22" spans="2:23" x14ac:dyDescent="0.25">
      <c r="B22" s="83" t="s">
        <v>350</v>
      </c>
      <c r="C22" s="83" t="s">
        <v>293</v>
      </c>
      <c r="R22" t="s">
        <v>351</v>
      </c>
      <c r="S22" t="s">
        <v>352</v>
      </c>
      <c r="T22" t="s">
        <v>353</v>
      </c>
    </row>
    <row r="23" spans="2:23" x14ac:dyDescent="0.25">
      <c r="B23" s="83" t="s">
        <v>354</v>
      </c>
      <c r="C23" s="83" t="s">
        <v>266</v>
      </c>
      <c r="R23" t="s">
        <v>355</v>
      </c>
      <c r="S23" t="s">
        <v>356</v>
      </c>
      <c r="T23" t="s">
        <v>357</v>
      </c>
    </row>
    <row r="24" spans="2:23" x14ac:dyDescent="0.25">
      <c r="B24" s="83" t="s">
        <v>358</v>
      </c>
      <c r="C24" s="83" t="s">
        <v>315</v>
      </c>
      <c r="R24" t="s">
        <v>69</v>
      </c>
      <c r="S24" t="s">
        <v>359</v>
      </c>
      <c r="T24" t="s">
        <v>360</v>
      </c>
    </row>
    <row r="25" spans="2:23" x14ac:dyDescent="0.25">
      <c r="B25" s="83" t="s">
        <v>361</v>
      </c>
      <c r="C25" s="83" t="s">
        <v>315</v>
      </c>
      <c r="R25" t="s">
        <v>362</v>
      </c>
      <c r="S25" t="s">
        <v>363</v>
      </c>
      <c r="T25" t="s">
        <v>364</v>
      </c>
    </row>
    <row r="26" spans="2:23" x14ac:dyDescent="0.25">
      <c r="B26" s="83" t="s">
        <v>365</v>
      </c>
      <c r="C26" s="83" t="s">
        <v>315</v>
      </c>
      <c r="R26" t="s">
        <v>366</v>
      </c>
      <c r="S26" t="s">
        <v>367</v>
      </c>
      <c r="T26" t="s">
        <v>368</v>
      </c>
    </row>
    <row r="27" spans="2:23" x14ac:dyDescent="0.25">
      <c r="B27" s="83" t="s">
        <v>369</v>
      </c>
      <c r="C27" s="83" t="s">
        <v>266</v>
      </c>
      <c r="R27" t="s">
        <v>370</v>
      </c>
      <c r="S27" t="s">
        <v>371</v>
      </c>
      <c r="T27" t="s">
        <v>372</v>
      </c>
    </row>
    <row r="28" spans="2:23" x14ac:dyDescent="0.25">
      <c r="B28" s="83" t="s">
        <v>373</v>
      </c>
      <c r="C28" s="83" t="s">
        <v>315</v>
      </c>
      <c r="R28" t="s">
        <v>374</v>
      </c>
      <c r="S28" t="s">
        <v>251</v>
      </c>
      <c r="T28" t="s">
        <v>375</v>
      </c>
    </row>
    <row r="29" spans="2:23" x14ac:dyDescent="0.25">
      <c r="B29" s="83" t="s">
        <v>376</v>
      </c>
      <c r="C29" s="83" t="s">
        <v>236</v>
      </c>
      <c r="R29" t="s">
        <v>377</v>
      </c>
      <c r="S29" t="s">
        <v>378</v>
      </c>
      <c r="T29" t="s">
        <v>379</v>
      </c>
    </row>
    <row r="30" spans="2:23" x14ac:dyDescent="0.25">
      <c r="B30" s="83" t="s">
        <v>380</v>
      </c>
      <c r="C30" s="83" t="s">
        <v>266</v>
      </c>
      <c r="R30" t="s">
        <v>381</v>
      </c>
      <c r="S30" t="s">
        <v>382</v>
      </c>
      <c r="T30" t="s">
        <v>383</v>
      </c>
    </row>
    <row r="31" spans="2:23" x14ac:dyDescent="0.25">
      <c r="B31" s="83" t="s">
        <v>384</v>
      </c>
      <c r="C31" s="83" t="s">
        <v>315</v>
      </c>
      <c r="R31" t="s">
        <v>385</v>
      </c>
      <c r="S31" t="s">
        <v>386</v>
      </c>
      <c r="T31" t="s">
        <v>387</v>
      </c>
    </row>
    <row r="32" spans="2:23" x14ac:dyDescent="0.25">
      <c r="B32" s="83" t="s">
        <v>388</v>
      </c>
      <c r="C32" s="83" t="s">
        <v>258</v>
      </c>
      <c r="R32" t="s">
        <v>389</v>
      </c>
      <c r="S32" t="s">
        <v>390</v>
      </c>
      <c r="T32" t="s">
        <v>391</v>
      </c>
    </row>
    <row r="33" spans="2:20" x14ac:dyDescent="0.25">
      <c r="B33" s="83" t="s">
        <v>392</v>
      </c>
      <c r="C33" s="83" t="s">
        <v>266</v>
      </c>
      <c r="R33" t="s">
        <v>393</v>
      </c>
      <c r="S33" t="s">
        <v>394</v>
      </c>
      <c r="T33" t="s">
        <v>395</v>
      </c>
    </row>
    <row r="34" spans="2:20" x14ac:dyDescent="0.25">
      <c r="B34" s="83" t="s">
        <v>396</v>
      </c>
      <c r="C34" s="83" t="s">
        <v>258</v>
      </c>
      <c r="R34" t="s">
        <v>397</v>
      </c>
      <c r="S34" t="s">
        <v>398</v>
      </c>
      <c r="T34" t="s">
        <v>399</v>
      </c>
    </row>
    <row r="35" spans="2:20" x14ac:dyDescent="0.25">
      <c r="B35" s="83" t="s">
        <v>400</v>
      </c>
      <c r="C35" s="83" t="s">
        <v>258</v>
      </c>
      <c r="R35" t="s">
        <v>401</v>
      </c>
      <c r="S35" t="s">
        <v>402</v>
      </c>
      <c r="T35" t="s">
        <v>403</v>
      </c>
    </row>
    <row r="36" spans="2:20" x14ac:dyDescent="0.25">
      <c r="B36" s="83" t="s">
        <v>404</v>
      </c>
      <c r="C36" s="83" t="s">
        <v>258</v>
      </c>
      <c r="R36" t="s">
        <v>405</v>
      </c>
      <c r="S36" t="s">
        <v>406</v>
      </c>
      <c r="T36" t="s">
        <v>407</v>
      </c>
    </row>
    <row r="37" spans="2:20" x14ac:dyDescent="0.25">
      <c r="B37" s="83" t="s">
        <v>408</v>
      </c>
      <c r="C37" s="83" t="s">
        <v>258</v>
      </c>
      <c r="R37" t="s">
        <v>409</v>
      </c>
      <c r="S37" t="s">
        <v>410</v>
      </c>
      <c r="T37" t="s">
        <v>411</v>
      </c>
    </row>
    <row r="38" spans="2:20" x14ac:dyDescent="0.25">
      <c r="B38" s="83" t="s">
        <v>412</v>
      </c>
      <c r="C38" s="83" t="s">
        <v>266</v>
      </c>
      <c r="R38" t="s">
        <v>413</v>
      </c>
      <c r="S38" t="s">
        <v>414</v>
      </c>
      <c r="T38" t="s">
        <v>415</v>
      </c>
    </row>
    <row r="39" spans="2:20" x14ac:dyDescent="0.25">
      <c r="B39" s="83" t="s">
        <v>416</v>
      </c>
      <c r="C39" s="83" t="s">
        <v>417</v>
      </c>
      <c r="R39" t="s">
        <v>418</v>
      </c>
      <c r="S39" t="s">
        <v>419</v>
      </c>
      <c r="T39" t="s">
        <v>420</v>
      </c>
    </row>
    <row r="40" spans="2:20" x14ac:dyDescent="0.25">
      <c r="B40" s="83" t="s">
        <v>421</v>
      </c>
      <c r="C40" s="83" t="s">
        <v>417</v>
      </c>
      <c r="R40" t="s">
        <v>422</v>
      </c>
      <c r="S40" t="s">
        <v>423</v>
      </c>
      <c r="T40" t="s">
        <v>424</v>
      </c>
    </row>
    <row r="41" spans="2:20" x14ac:dyDescent="0.25">
      <c r="B41" s="83" t="s">
        <v>425</v>
      </c>
      <c r="C41" s="83" t="s">
        <v>258</v>
      </c>
      <c r="R41" t="s">
        <v>426</v>
      </c>
      <c r="S41" t="s">
        <v>427</v>
      </c>
      <c r="T41" t="s">
        <v>428</v>
      </c>
    </row>
    <row r="42" spans="2:20" x14ac:dyDescent="0.25">
      <c r="R42" t="s">
        <v>429</v>
      </c>
      <c r="S42" t="s">
        <v>430</v>
      </c>
      <c r="T42" t="s">
        <v>431</v>
      </c>
    </row>
    <row r="43" spans="2:20" x14ac:dyDescent="0.25">
      <c r="R43" t="s">
        <v>432</v>
      </c>
      <c r="S43" t="s">
        <v>433</v>
      </c>
      <c r="T43" t="s">
        <v>434</v>
      </c>
    </row>
    <row r="44" spans="2:20" x14ac:dyDescent="0.25">
      <c r="R44" t="s">
        <v>435</v>
      </c>
      <c r="S44" t="s">
        <v>436</v>
      </c>
      <c r="T44" t="s">
        <v>437</v>
      </c>
    </row>
    <row r="45" spans="2:20" x14ac:dyDescent="0.25">
      <c r="R45" t="s">
        <v>438</v>
      </c>
      <c r="S45" t="s">
        <v>439</v>
      </c>
      <c r="T45" t="s">
        <v>440</v>
      </c>
    </row>
    <row r="46" spans="2:20" x14ac:dyDescent="0.25">
      <c r="R46" t="s">
        <v>441</v>
      </c>
      <c r="S46" t="s">
        <v>442</v>
      </c>
      <c r="T46" t="s">
        <v>443</v>
      </c>
    </row>
    <row r="47" spans="2:20" x14ac:dyDescent="0.25">
      <c r="R47" t="s">
        <v>444</v>
      </c>
      <c r="S47" t="s">
        <v>445</v>
      </c>
      <c r="T47" t="s">
        <v>446</v>
      </c>
    </row>
    <row r="48" spans="2:20" x14ac:dyDescent="0.25">
      <c r="R48" t="s">
        <v>447</v>
      </c>
      <c r="S48" t="s">
        <v>448</v>
      </c>
      <c r="T48" t="s">
        <v>449</v>
      </c>
    </row>
    <row r="49" spans="18:20" x14ac:dyDescent="0.25">
      <c r="R49" t="s">
        <v>450</v>
      </c>
      <c r="S49" t="s">
        <v>451</v>
      </c>
      <c r="T49" t="s">
        <v>452</v>
      </c>
    </row>
    <row r="50" spans="18:20" x14ac:dyDescent="0.25">
      <c r="R50" t="s">
        <v>453</v>
      </c>
      <c r="S50" t="s">
        <v>454</v>
      </c>
      <c r="T50" t="s">
        <v>455</v>
      </c>
    </row>
    <row r="51" spans="18:20" x14ac:dyDescent="0.25">
      <c r="R51" t="s">
        <v>456</v>
      </c>
      <c r="S51" t="s">
        <v>457</v>
      </c>
      <c r="T51" t="s">
        <v>458</v>
      </c>
    </row>
    <row r="52" spans="18:20" x14ac:dyDescent="0.25">
      <c r="R52" t="s">
        <v>459</v>
      </c>
      <c r="S52" t="s">
        <v>460</v>
      </c>
      <c r="T52" t="s">
        <v>461</v>
      </c>
    </row>
    <row r="53" spans="18:20" x14ac:dyDescent="0.25">
      <c r="R53" t="s">
        <v>462</v>
      </c>
      <c r="S53" t="s">
        <v>463</v>
      </c>
      <c r="T53" t="s">
        <v>464</v>
      </c>
    </row>
    <row r="54" spans="18:20" x14ac:dyDescent="0.25">
      <c r="R54" t="s">
        <v>465</v>
      </c>
      <c r="S54" t="s">
        <v>466</v>
      </c>
      <c r="T54" t="s">
        <v>467</v>
      </c>
    </row>
    <row r="55" spans="18:20" x14ac:dyDescent="0.25">
      <c r="R55" t="s">
        <v>468</v>
      </c>
      <c r="S55" t="s">
        <v>469</v>
      </c>
      <c r="T55" t="s">
        <v>470</v>
      </c>
    </row>
    <row r="56" spans="18:20" x14ac:dyDescent="0.25">
      <c r="R56" t="s">
        <v>471</v>
      </c>
      <c r="S56" t="s">
        <v>472</v>
      </c>
      <c r="T56" t="s">
        <v>473</v>
      </c>
    </row>
    <row r="57" spans="18:20" x14ac:dyDescent="0.25">
      <c r="R57" t="s">
        <v>474</v>
      </c>
      <c r="S57" t="s">
        <v>475</v>
      </c>
      <c r="T57" t="s">
        <v>476</v>
      </c>
    </row>
    <row r="58" spans="18:20" x14ac:dyDescent="0.25">
      <c r="R58" t="s">
        <v>477</v>
      </c>
      <c r="S58" t="s">
        <v>478</v>
      </c>
      <c r="T58" t="s">
        <v>479</v>
      </c>
    </row>
    <row r="59" spans="18:20" x14ac:dyDescent="0.25">
      <c r="R59" t="s">
        <v>480</v>
      </c>
      <c r="S59" t="s">
        <v>481</v>
      </c>
      <c r="T59" t="s">
        <v>482</v>
      </c>
    </row>
    <row r="60" spans="18:20" x14ac:dyDescent="0.25">
      <c r="R60" t="s">
        <v>483</v>
      </c>
      <c r="S60" t="s">
        <v>484</v>
      </c>
      <c r="T60" t="s">
        <v>485</v>
      </c>
    </row>
    <row r="61" spans="18:20" x14ac:dyDescent="0.25">
      <c r="R61" t="s">
        <v>486</v>
      </c>
      <c r="S61" t="s">
        <v>487</v>
      </c>
      <c r="T61" t="s">
        <v>488</v>
      </c>
    </row>
    <row r="62" spans="18:20" x14ac:dyDescent="0.25">
      <c r="R62" t="s">
        <v>489</v>
      </c>
      <c r="S62" t="s">
        <v>490</v>
      </c>
      <c r="T62" t="s">
        <v>491</v>
      </c>
    </row>
    <row r="63" spans="18:20" x14ac:dyDescent="0.25">
      <c r="R63" t="s">
        <v>492</v>
      </c>
      <c r="S63" t="s">
        <v>493</v>
      </c>
      <c r="T63" t="s">
        <v>494</v>
      </c>
    </row>
    <row r="64" spans="18:20" x14ac:dyDescent="0.25">
      <c r="R64" t="s">
        <v>495</v>
      </c>
      <c r="S64" t="s">
        <v>496</v>
      </c>
      <c r="T64" t="s">
        <v>497</v>
      </c>
    </row>
    <row r="65" spans="18:20" x14ac:dyDescent="0.25">
      <c r="R65" t="s">
        <v>498</v>
      </c>
      <c r="S65" t="s">
        <v>499</v>
      </c>
      <c r="T65" t="s">
        <v>500</v>
      </c>
    </row>
    <row r="66" spans="18:20" x14ac:dyDescent="0.25">
      <c r="R66" t="s">
        <v>501</v>
      </c>
      <c r="S66" t="s">
        <v>502</v>
      </c>
      <c r="T66" t="s">
        <v>503</v>
      </c>
    </row>
    <row r="67" spans="18:20" x14ac:dyDescent="0.25">
      <c r="R67" t="s">
        <v>504</v>
      </c>
      <c r="S67" t="s">
        <v>505</v>
      </c>
      <c r="T67" t="s">
        <v>506</v>
      </c>
    </row>
    <row r="68" spans="18:20" x14ac:dyDescent="0.25">
      <c r="R68" t="s">
        <v>507</v>
      </c>
      <c r="S68" t="s">
        <v>508</v>
      </c>
      <c r="T68" t="s">
        <v>509</v>
      </c>
    </row>
    <row r="69" spans="18:20" x14ac:dyDescent="0.25">
      <c r="R69" t="s">
        <v>510</v>
      </c>
      <c r="S69" t="s">
        <v>511</v>
      </c>
      <c r="T69" t="s">
        <v>512</v>
      </c>
    </row>
    <row r="70" spans="18:20" x14ac:dyDescent="0.25">
      <c r="R70" t="s">
        <v>513</v>
      </c>
      <c r="S70" t="s">
        <v>514</v>
      </c>
      <c r="T70" t="s">
        <v>515</v>
      </c>
    </row>
    <row r="71" spans="18:20" x14ac:dyDescent="0.25">
      <c r="R71" t="s">
        <v>516</v>
      </c>
      <c r="S71" t="s">
        <v>517</v>
      </c>
      <c r="T71" t="s">
        <v>518</v>
      </c>
    </row>
    <row r="72" spans="18:20" x14ac:dyDescent="0.25">
      <c r="R72" t="s">
        <v>519</v>
      </c>
      <c r="S72" t="s">
        <v>520</v>
      </c>
      <c r="T72" t="s">
        <v>521</v>
      </c>
    </row>
    <row r="73" spans="18:20" x14ac:dyDescent="0.25">
      <c r="R73" t="s">
        <v>522</v>
      </c>
      <c r="S73" t="s">
        <v>523</v>
      </c>
      <c r="T73" t="s">
        <v>524</v>
      </c>
    </row>
    <row r="74" spans="18:20" x14ac:dyDescent="0.25">
      <c r="R74" t="s">
        <v>525</v>
      </c>
      <c r="S74" t="s">
        <v>526</v>
      </c>
      <c r="T74" t="s">
        <v>527</v>
      </c>
    </row>
    <row r="75" spans="18:20" x14ac:dyDescent="0.25">
      <c r="R75" t="s">
        <v>528</v>
      </c>
      <c r="S75" t="s">
        <v>529</v>
      </c>
      <c r="T75" t="s">
        <v>530</v>
      </c>
    </row>
    <row r="76" spans="18:20" x14ac:dyDescent="0.25">
      <c r="R76" t="s">
        <v>531</v>
      </c>
      <c r="S76" t="s">
        <v>532</v>
      </c>
      <c r="T76" t="s">
        <v>533</v>
      </c>
    </row>
    <row r="77" spans="18:20" x14ac:dyDescent="0.25">
      <c r="R77" t="s">
        <v>534</v>
      </c>
      <c r="S77" t="s">
        <v>535</v>
      </c>
      <c r="T77" t="s">
        <v>536</v>
      </c>
    </row>
    <row r="78" spans="18:20" x14ac:dyDescent="0.25">
      <c r="R78" t="s">
        <v>537</v>
      </c>
      <c r="S78" t="s">
        <v>538</v>
      </c>
      <c r="T78" t="s">
        <v>539</v>
      </c>
    </row>
    <row r="79" spans="18:20" x14ac:dyDescent="0.25">
      <c r="R79" t="s">
        <v>540</v>
      </c>
      <c r="S79" t="s">
        <v>541</v>
      </c>
      <c r="T79" t="s">
        <v>542</v>
      </c>
    </row>
    <row r="80" spans="18:20" x14ac:dyDescent="0.25">
      <c r="R80" t="s">
        <v>543</v>
      </c>
      <c r="S80" t="s">
        <v>544</v>
      </c>
      <c r="T80" t="s">
        <v>545</v>
      </c>
    </row>
    <row r="81" spans="18:20" x14ac:dyDescent="0.25">
      <c r="R81" t="s">
        <v>546</v>
      </c>
      <c r="S81" t="s">
        <v>547</v>
      </c>
      <c r="T81" t="s">
        <v>548</v>
      </c>
    </row>
    <row r="82" spans="18:20" x14ac:dyDescent="0.25">
      <c r="R82" t="s">
        <v>549</v>
      </c>
      <c r="S82" t="s">
        <v>550</v>
      </c>
      <c r="T82" t="s">
        <v>551</v>
      </c>
    </row>
    <row r="83" spans="18:20" x14ac:dyDescent="0.25">
      <c r="R83" t="s">
        <v>552</v>
      </c>
      <c r="S83" t="s">
        <v>553</v>
      </c>
      <c r="T83" t="s">
        <v>554</v>
      </c>
    </row>
    <row r="84" spans="18:20" x14ac:dyDescent="0.25">
      <c r="R84" t="s">
        <v>555</v>
      </c>
      <c r="S84" t="s">
        <v>556</v>
      </c>
      <c r="T84" t="s">
        <v>557</v>
      </c>
    </row>
    <row r="85" spans="18:20" x14ac:dyDescent="0.25">
      <c r="R85" t="s">
        <v>558</v>
      </c>
      <c r="S85" t="s">
        <v>559</v>
      </c>
      <c r="T85" t="s">
        <v>560</v>
      </c>
    </row>
    <row r="86" spans="18:20" x14ac:dyDescent="0.25">
      <c r="R86" t="s">
        <v>561</v>
      </c>
      <c r="S86" t="s">
        <v>562</v>
      </c>
      <c r="T86" t="s">
        <v>563</v>
      </c>
    </row>
    <row r="87" spans="18:20" x14ac:dyDescent="0.25">
      <c r="R87" t="s">
        <v>564</v>
      </c>
      <c r="S87" t="s">
        <v>565</v>
      </c>
      <c r="T87" t="s">
        <v>566</v>
      </c>
    </row>
    <row r="88" spans="18:20" x14ac:dyDescent="0.25">
      <c r="R88" t="s">
        <v>567</v>
      </c>
      <c r="S88" t="s">
        <v>568</v>
      </c>
      <c r="T88" t="s">
        <v>569</v>
      </c>
    </row>
    <row r="89" spans="18:20" x14ac:dyDescent="0.25">
      <c r="R89" t="s">
        <v>570</v>
      </c>
      <c r="S89" t="s">
        <v>571</v>
      </c>
      <c r="T89" t="s">
        <v>572</v>
      </c>
    </row>
    <row r="90" spans="18:20" x14ac:dyDescent="0.25">
      <c r="R90" t="s">
        <v>573</v>
      </c>
      <c r="S90" t="s">
        <v>274</v>
      </c>
      <c r="T90" t="s">
        <v>574</v>
      </c>
    </row>
    <row r="91" spans="18:20" x14ac:dyDescent="0.25">
      <c r="R91" t="s">
        <v>575</v>
      </c>
      <c r="S91" t="s">
        <v>576</v>
      </c>
      <c r="T91" t="s">
        <v>577</v>
      </c>
    </row>
    <row r="92" spans="18:20" x14ac:dyDescent="0.25">
      <c r="R92" t="s">
        <v>578</v>
      </c>
      <c r="S92" t="s">
        <v>579</v>
      </c>
      <c r="T92" t="s">
        <v>580</v>
      </c>
    </row>
    <row r="93" spans="18:20" x14ac:dyDescent="0.25">
      <c r="R93" t="s">
        <v>581</v>
      </c>
      <c r="S93" t="s">
        <v>582</v>
      </c>
      <c r="T93" t="s">
        <v>583</v>
      </c>
    </row>
    <row r="94" spans="18:20" x14ac:dyDescent="0.25">
      <c r="R94" t="s">
        <v>584</v>
      </c>
      <c r="S94" t="s">
        <v>585</v>
      </c>
      <c r="T94" t="s">
        <v>586</v>
      </c>
    </row>
    <row r="95" spans="18:20" x14ac:dyDescent="0.25">
      <c r="R95" t="s">
        <v>587</v>
      </c>
      <c r="S95" t="s">
        <v>588</v>
      </c>
      <c r="T95" t="s">
        <v>589</v>
      </c>
    </row>
    <row r="96" spans="18:20" x14ac:dyDescent="0.25">
      <c r="R96" t="s">
        <v>590</v>
      </c>
      <c r="S96" t="s">
        <v>591</v>
      </c>
      <c r="T96" t="s">
        <v>592</v>
      </c>
    </row>
    <row r="97" spans="18:20" x14ac:dyDescent="0.25">
      <c r="R97" t="s">
        <v>593</v>
      </c>
      <c r="S97" t="s">
        <v>594</v>
      </c>
      <c r="T97" t="s">
        <v>595</v>
      </c>
    </row>
    <row r="98" spans="18:20" x14ac:dyDescent="0.25">
      <c r="R98" t="s">
        <v>596</v>
      </c>
      <c r="S98" t="s">
        <v>597</v>
      </c>
      <c r="T98" t="s">
        <v>598</v>
      </c>
    </row>
    <row r="99" spans="18:20" x14ac:dyDescent="0.25">
      <c r="R99" t="s">
        <v>599</v>
      </c>
      <c r="S99" t="s">
        <v>600</v>
      </c>
      <c r="T99" t="s">
        <v>601</v>
      </c>
    </row>
    <row r="100" spans="18:20" x14ac:dyDescent="0.25">
      <c r="R100" t="s">
        <v>602</v>
      </c>
      <c r="S100" t="s">
        <v>603</v>
      </c>
      <c r="T100" t="s">
        <v>604</v>
      </c>
    </row>
    <row r="101" spans="18:20" x14ac:dyDescent="0.25">
      <c r="R101" t="s">
        <v>605</v>
      </c>
      <c r="S101" t="s">
        <v>606</v>
      </c>
      <c r="T101" t="s">
        <v>158</v>
      </c>
    </row>
    <row r="102" spans="18:20" x14ac:dyDescent="0.25">
      <c r="R102" t="s">
        <v>607</v>
      </c>
      <c r="S102" t="s">
        <v>608</v>
      </c>
      <c r="T102" t="s">
        <v>609</v>
      </c>
    </row>
    <row r="103" spans="18:20" x14ac:dyDescent="0.25">
      <c r="R103" t="s">
        <v>610</v>
      </c>
      <c r="S103" t="s">
        <v>611</v>
      </c>
      <c r="T103" t="s">
        <v>612</v>
      </c>
    </row>
    <row r="104" spans="18:20" x14ac:dyDescent="0.25">
      <c r="R104" t="s">
        <v>613</v>
      </c>
      <c r="S104" t="s">
        <v>614</v>
      </c>
      <c r="T104" t="s">
        <v>615</v>
      </c>
    </row>
    <row r="105" spans="18:20" x14ac:dyDescent="0.25">
      <c r="R105" t="s">
        <v>616</v>
      </c>
      <c r="S105" t="s">
        <v>617</v>
      </c>
      <c r="T105" t="s">
        <v>618</v>
      </c>
    </row>
    <row r="106" spans="18:20" x14ac:dyDescent="0.25">
      <c r="R106" t="s">
        <v>619</v>
      </c>
      <c r="S106" t="s">
        <v>620</v>
      </c>
      <c r="T106" t="s">
        <v>621</v>
      </c>
    </row>
    <row r="107" spans="18:20" x14ac:dyDescent="0.25">
      <c r="R107" t="s">
        <v>622</v>
      </c>
      <c r="S107" t="s">
        <v>623</v>
      </c>
      <c r="T107" t="s">
        <v>624</v>
      </c>
    </row>
    <row r="108" spans="18:20" x14ac:dyDescent="0.25">
      <c r="R108" t="s">
        <v>625</v>
      </c>
      <c r="S108" t="s">
        <v>626</v>
      </c>
      <c r="T108" t="s">
        <v>627</v>
      </c>
    </row>
    <row r="109" spans="18:20" x14ac:dyDescent="0.25">
      <c r="R109" t="s">
        <v>628</v>
      </c>
      <c r="S109" t="s">
        <v>629</v>
      </c>
      <c r="T109" t="s">
        <v>630</v>
      </c>
    </row>
    <row r="110" spans="18:20" x14ac:dyDescent="0.25">
      <c r="R110" t="s">
        <v>631</v>
      </c>
      <c r="S110" t="s">
        <v>632</v>
      </c>
      <c r="T110" t="s">
        <v>633</v>
      </c>
    </row>
    <row r="111" spans="18:20" x14ac:dyDescent="0.25">
      <c r="R111" t="s">
        <v>634</v>
      </c>
      <c r="S111" t="s">
        <v>635</v>
      </c>
      <c r="T111" t="s">
        <v>636</v>
      </c>
    </row>
    <row r="112" spans="18:20" x14ac:dyDescent="0.25">
      <c r="R112" t="s">
        <v>637</v>
      </c>
      <c r="S112" t="s">
        <v>638</v>
      </c>
      <c r="T112" t="s">
        <v>639</v>
      </c>
    </row>
    <row r="113" spans="18:20" x14ac:dyDescent="0.25">
      <c r="R113" t="s">
        <v>640</v>
      </c>
      <c r="S113" t="s">
        <v>641</v>
      </c>
      <c r="T113" t="s">
        <v>642</v>
      </c>
    </row>
    <row r="114" spans="18:20" x14ac:dyDescent="0.25">
      <c r="R114" t="s">
        <v>643</v>
      </c>
      <c r="S114" t="s">
        <v>644</v>
      </c>
      <c r="T114" t="s">
        <v>645</v>
      </c>
    </row>
    <row r="115" spans="18:20" x14ac:dyDescent="0.25">
      <c r="R115" t="s">
        <v>646</v>
      </c>
      <c r="S115" t="s">
        <v>647</v>
      </c>
      <c r="T115" t="s">
        <v>648</v>
      </c>
    </row>
    <row r="116" spans="18:20" x14ac:dyDescent="0.25">
      <c r="R116" t="s">
        <v>649</v>
      </c>
      <c r="S116" t="s">
        <v>650</v>
      </c>
      <c r="T116" t="s">
        <v>651</v>
      </c>
    </row>
    <row r="117" spans="18:20" x14ac:dyDescent="0.25">
      <c r="R117" t="s">
        <v>652</v>
      </c>
      <c r="S117" t="s">
        <v>653</v>
      </c>
      <c r="T117" t="s">
        <v>654</v>
      </c>
    </row>
    <row r="118" spans="18:20" x14ac:dyDescent="0.25">
      <c r="R118" t="s">
        <v>655</v>
      </c>
      <c r="S118" t="s">
        <v>656</v>
      </c>
      <c r="T118" t="s">
        <v>657</v>
      </c>
    </row>
    <row r="119" spans="18:20" x14ac:dyDescent="0.25">
      <c r="R119" t="s">
        <v>658</v>
      </c>
      <c r="S119" t="s">
        <v>659</v>
      </c>
      <c r="T119" t="s">
        <v>660</v>
      </c>
    </row>
    <row r="120" spans="18:20" x14ac:dyDescent="0.25">
      <c r="R120" t="s">
        <v>661</v>
      </c>
      <c r="S120" t="s">
        <v>662</v>
      </c>
      <c r="T120" t="s">
        <v>663</v>
      </c>
    </row>
    <row r="121" spans="18:20" x14ac:dyDescent="0.25">
      <c r="R121" t="s">
        <v>664</v>
      </c>
      <c r="S121" t="s">
        <v>665</v>
      </c>
      <c r="T121" t="s">
        <v>666</v>
      </c>
    </row>
    <row r="122" spans="18:20" x14ac:dyDescent="0.25">
      <c r="R122" t="s">
        <v>667</v>
      </c>
      <c r="S122" t="s">
        <v>668</v>
      </c>
      <c r="T122" t="s">
        <v>669</v>
      </c>
    </row>
    <row r="123" spans="18:20" x14ac:dyDescent="0.25">
      <c r="R123" t="s">
        <v>670</v>
      </c>
      <c r="S123" t="s">
        <v>671</v>
      </c>
      <c r="T123" t="s">
        <v>672</v>
      </c>
    </row>
    <row r="124" spans="18:20" x14ac:dyDescent="0.25">
      <c r="R124" t="s">
        <v>673</v>
      </c>
      <c r="S124" t="s">
        <v>674</v>
      </c>
      <c r="T124" t="s">
        <v>675</v>
      </c>
    </row>
    <row r="125" spans="18:20" x14ac:dyDescent="0.25">
      <c r="R125" t="s">
        <v>676</v>
      </c>
      <c r="S125" t="s">
        <v>677</v>
      </c>
      <c r="T125" t="s">
        <v>678</v>
      </c>
    </row>
    <row r="126" spans="18:20" x14ac:dyDescent="0.25">
      <c r="R126" t="s">
        <v>679</v>
      </c>
      <c r="S126" t="s">
        <v>680</v>
      </c>
      <c r="T126" t="s">
        <v>681</v>
      </c>
    </row>
    <row r="127" spans="18:20" x14ac:dyDescent="0.25">
      <c r="R127" t="s">
        <v>682</v>
      </c>
      <c r="S127" t="s">
        <v>683</v>
      </c>
      <c r="T127" t="s">
        <v>684</v>
      </c>
    </row>
    <row r="128" spans="18:20" x14ac:dyDescent="0.25">
      <c r="R128" t="s">
        <v>685</v>
      </c>
      <c r="S128" t="s">
        <v>686</v>
      </c>
      <c r="T128" t="s">
        <v>687</v>
      </c>
    </row>
    <row r="129" spans="18:20" x14ac:dyDescent="0.25">
      <c r="R129" t="s">
        <v>688</v>
      </c>
      <c r="S129" t="s">
        <v>689</v>
      </c>
      <c r="T129" t="s">
        <v>690</v>
      </c>
    </row>
    <row r="130" spans="18:20" x14ac:dyDescent="0.25">
      <c r="R130" t="s">
        <v>691</v>
      </c>
      <c r="S130" t="s">
        <v>692</v>
      </c>
      <c r="T130" t="s">
        <v>693</v>
      </c>
    </row>
    <row r="131" spans="18:20" x14ac:dyDescent="0.25">
      <c r="R131" t="s">
        <v>694</v>
      </c>
      <c r="S131" t="s">
        <v>695</v>
      </c>
      <c r="T131" t="s">
        <v>696</v>
      </c>
    </row>
    <row r="132" spans="18:20" x14ac:dyDescent="0.25">
      <c r="R132" t="s">
        <v>697</v>
      </c>
      <c r="S132" t="s">
        <v>698</v>
      </c>
      <c r="T132" t="s">
        <v>699</v>
      </c>
    </row>
    <row r="133" spans="18:20" x14ac:dyDescent="0.25">
      <c r="R133" t="s">
        <v>700</v>
      </c>
      <c r="S133" t="s">
        <v>701</v>
      </c>
      <c r="T133" t="s">
        <v>702</v>
      </c>
    </row>
    <row r="134" spans="18:20" x14ac:dyDescent="0.25">
      <c r="R134" t="s">
        <v>703</v>
      </c>
      <c r="S134" t="s">
        <v>704</v>
      </c>
      <c r="T134" t="s">
        <v>705</v>
      </c>
    </row>
    <row r="135" spans="18:20" x14ac:dyDescent="0.25">
      <c r="R135" t="s">
        <v>706</v>
      </c>
      <c r="S135" t="s">
        <v>707</v>
      </c>
      <c r="T135" t="s">
        <v>708</v>
      </c>
    </row>
    <row r="136" spans="18:20" x14ac:dyDescent="0.25">
      <c r="R136" t="s">
        <v>709</v>
      </c>
      <c r="S136" t="s">
        <v>710</v>
      </c>
      <c r="T136" t="s">
        <v>711</v>
      </c>
    </row>
    <row r="137" spans="18:20" x14ac:dyDescent="0.25">
      <c r="R137" t="s">
        <v>712</v>
      </c>
      <c r="S137" t="s">
        <v>713</v>
      </c>
      <c r="T137" t="s">
        <v>714</v>
      </c>
    </row>
    <row r="138" spans="18:20" x14ac:dyDescent="0.25">
      <c r="R138" t="s">
        <v>715</v>
      </c>
      <c r="S138" t="s">
        <v>716</v>
      </c>
      <c r="T138" t="s">
        <v>717</v>
      </c>
    </row>
    <row r="139" spans="18:20" x14ac:dyDescent="0.25">
      <c r="R139" t="s">
        <v>718</v>
      </c>
      <c r="S139" t="s">
        <v>719</v>
      </c>
      <c r="T139" t="s">
        <v>720</v>
      </c>
    </row>
    <row r="140" spans="18:20" x14ac:dyDescent="0.25">
      <c r="R140" t="s">
        <v>721</v>
      </c>
      <c r="S140" t="s">
        <v>68</v>
      </c>
      <c r="T140" t="s">
        <v>722</v>
      </c>
    </row>
    <row r="141" spans="18:20" x14ac:dyDescent="0.25">
      <c r="R141" t="s">
        <v>723</v>
      </c>
      <c r="S141" t="s">
        <v>724</v>
      </c>
      <c r="T141" t="s">
        <v>725</v>
      </c>
    </row>
    <row r="142" spans="18:20" x14ac:dyDescent="0.25">
      <c r="R142" t="s">
        <v>726</v>
      </c>
      <c r="S142" t="s">
        <v>727</v>
      </c>
      <c r="T142" t="s">
        <v>728</v>
      </c>
    </row>
    <row r="143" spans="18:20" x14ac:dyDescent="0.25">
      <c r="R143" t="s">
        <v>729</v>
      </c>
      <c r="S143" t="s">
        <v>730</v>
      </c>
      <c r="T143" t="s">
        <v>731</v>
      </c>
    </row>
    <row r="144" spans="18:20" x14ac:dyDescent="0.25">
      <c r="R144" t="s">
        <v>732</v>
      </c>
      <c r="S144" t="s">
        <v>733</v>
      </c>
      <c r="T144" t="s">
        <v>734</v>
      </c>
    </row>
    <row r="145" spans="18:20" x14ac:dyDescent="0.25">
      <c r="R145" t="s">
        <v>735</v>
      </c>
      <c r="S145" t="s">
        <v>736</v>
      </c>
      <c r="T145" t="s">
        <v>737</v>
      </c>
    </row>
    <row r="146" spans="18:20" x14ac:dyDescent="0.25">
      <c r="R146" t="s">
        <v>738</v>
      </c>
      <c r="S146" t="s">
        <v>739</v>
      </c>
      <c r="T146" t="s">
        <v>740</v>
      </c>
    </row>
    <row r="147" spans="18:20" x14ac:dyDescent="0.25">
      <c r="R147" t="s">
        <v>741</v>
      </c>
      <c r="S147" t="s">
        <v>742</v>
      </c>
      <c r="T147" t="s">
        <v>743</v>
      </c>
    </row>
    <row r="148" spans="18:20" x14ac:dyDescent="0.25">
      <c r="R148" t="s">
        <v>744</v>
      </c>
      <c r="S148" t="s">
        <v>745</v>
      </c>
      <c r="T148" t="s">
        <v>746</v>
      </c>
    </row>
    <row r="149" spans="18:20" x14ac:dyDescent="0.25">
      <c r="R149" t="s">
        <v>747</v>
      </c>
      <c r="S149" t="s">
        <v>284</v>
      </c>
      <c r="T149" t="s">
        <v>748</v>
      </c>
    </row>
    <row r="150" spans="18:20" x14ac:dyDescent="0.25">
      <c r="R150" t="s">
        <v>749</v>
      </c>
      <c r="S150" t="s">
        <v>750</v>
      </c>
      <c r="T150" t="s">
        <v>751</v>
      </c>
    </row>
    <row r="151" spans="18:20" x14ac:dyDescent="0.25">
      <c r="R151" t="s">
        <v>752</v>
      </c>
      <c r="S151" t="s">
        <v>753</v>
      </c>
      <c r="T151" t="s">
        <v>754</v>
      </c>
    </row>
    <row r="152" spans="18:20" x14ac:dyDescent="0.25">
      <c r="R152" t="s">
        <v>755</v>
      </c>
      <c r="S152" t="s">
        <v>756</v>
      </c>
      <c r="T152" t="s">
        <v>757</v>
      </c>
    </row>
    <row r="153" spans="18:20" x14ac:dyDescent="0.25">
      <c r="R153" t="s">
        <v>758</v>
      </c>
      <c r="S153" t="s">
        <v>759</v>
      </c>
      <c r="T153" t="s">
        <v>760</v>
      </c>
    </row>
    <row r="154" spans="18:20" x14ac:dyDescent="0.25">
      <c r="R154" t="s">
        <v>247</v>
      </c>
      <c r="S154" t="s">
        <v>761</v>
      </c>
      <c r="T154" t="s">
        <v>762</v>
      </c>
    </row>
    <row r="155" spans="18:20" x14ac:dyDescent="0.25">
      <c r="R155" t="s">
        <v>763</v>
      </c>
      <c r="S155" t="s">
        <v>764</v>
      </c>
      <c r="T155" t="s">
        <v>765</v>
      </c>
    </row>
    <row r="156" spans="18:20" x14ac:dyDescent="0.25">
      <c r="R156" t="s">
        <v>417</v>
      </c>
      <c r="S156" t="s">
        <v>766</v>
      </c>
      <c r="T156" t="s">
        <v>767</v>
      </c>
    </row>
    <row r="157" spans="18:20" x14ac:dyDescent="0.25">
      <c r="R157" t="s">
        <v>768</v>
      </c>
      <c r="S157" t="s">
        <v>769</v>
      </c>
      <c r="T157" t="s">
        <v>770</v>
      </c>
    </row>
    <row r="158" spans="18:20" x14ac:dyDescent="0.25">
      <c r="R158" t="s">
        <v>771</v>
      </c>
      <c r="S158" t="s">
        <v>772</v>
      </c>
      <c r="T158" t="s">
        <v>773</v>
      </c>
    </row>
    <row r="159" spans="18:20" x14ac:dyDescent="0.25">
      <c r="R159" t="s">
        <v>774</v>
      </c>
      <c r="S159" t="s">
        <v>775</v>
      </c>
      <c r="T159" t="s">
        <v>776</v>
      </c>
    </row>
    <row r="160" spans="18:20" x14ac:dyDescent="0.25">
      <c r="R160" t="s">
        <v>777</v>
      </c>
      <c r="S160" t="s">
        <v>778</v>
      </c>
      <c r="T160" t="s">
        <v>779</v>
      </c>
    </row>
    <row r="161" spans="18:20" x14ac:dyDescent="0.25">
      <c r="R161" t="s">
        <v>780</v>
      </c>
      <c r="S161" t="s">
        <v>781</v>
      </c>
      <c r="T161" t="s">
        <v>782</v>
      </c>
    </row>
    <row r="162" spans="18:20" x14ac:dyDescent="0.25">
      <c r="R162" t="s">
        <v>783</v>
      </c>
      <c r="S162" t="s">
        <v>784</v>
      </c>
      <c r="T162" t="s">
        <v>785</v>
      </c>
    </row>
    <row r="163" spans="18:20" x14ac:dyDescent="0.25">
      <c r="R163" t="s">
        <v>786</v>
      </c>
      <c r="S163" t="s">
        <v>787</v>
      </c>
      <c r="T163" t="s">
        <v>788</v>
      </c>
    </row>
    <row r="164" spans="18:20" x14ac:dyDescent="0.25">
      <c r="R164" t="s">
        <v>789</v>
      </c>
      <c r="S164" t="s">
        <v>790</v>
      </c>
      <c r="T164" t="s">
        <v>791</v>
      </c>
    </row>
    <row r="165" spans="18:20" x14ac:dyDescent="0.25">
      <c r="R165" t="s">
        <v>792</v>
      </c>
      <c r="S165" t="s">
        <v>793</v>
      </c>
      <c r="T165" t="s">
        <v>794</v>
      </c>
    </row>
    <row r="166" spans="18:20" x14ac:dyDescent="0.25">
      <c r="R166" t="s">
        <v>795</v>
      </c>
      <c r="S166" t="s">
        <v>796</v>
      </c>
      <c r="T166" t="s">
        <v>797</v>
      </c>
    </row>
    <row r="167" spans="18:20" x14ac:dyDescent="0.25">
      <c r="R167" t="s">
        <v>798</v>
      </c>
      <c r="S167" t="s">
        <v>799</v>
      </c>
      <c r="T167" t="s">
        <v>800</v>
      </c>
    </row>
    <row r="168" spans="18:20" x14ac:dyDescent="0.25">
      <c r="R168" t="s">
        <v>801</v>
      </c>
      <c r="S168" t="s">
        <v>802</v>
      </c>
      <c r="T168" t="s">
        <v>803</v>
      </c>
    </row>
    <row r="169" spans="18:20" x14ac:dyDescent="0.25">
      <c r="R169" t="s">
        <v>804</v>
      </c>
      <c r="S169" t="s">
        <v>805</v>
      </c>
      <c r="T169" t="s">
        <v>806</v>
      </c>
    </row>
    <row r="170" spans="18:20" x14ac:dyDescent="0.25">
      <c r="R170" t="s">
        <v>807</v>
      </c>
      <c r="S170" t="s">
        <v>808</v>
      </c>
      <c r="T170" t="s">
        <v>809</v>
      </c>
    </row>
    <row r="171" spans="18:20" x14ac:dyDescent="0.25">
      <c r="R171" t="s">
        <v>810</v>
      </c>
    </row>
    <row r="172" spans="18:20" x14ac:dyDescent="0.25">
      <c r="R172" t="s">
        <v>811</v>
      </c>
      <c r="S172" t="s">
        <v>812</v>
      </c>
      <c r="T172" t="s">
        <v>813</v>
      </c>
    </row>
    <row r="173" spans="18:20" x14ac:dyDescent="0.25">
      <c r="R173" t="s">
        <v>814</v>
      </c>
      <c r="S173" t="s">
        <v>815</v>
      </c>
      <c r="T173" t="s">
        <v>816</v>
      </c>
    </row>
    <row r="174" spans="18:20" x14ac:dyDescent="0.25">
      <c r="R174" t="s">
        <v>817</v>
      </c>
      <c r="S174" t="s">
        <v>818</v>
      </c>
      <c r="T174" t="s">
        <v>819</v>
      </c>
    </row>
    <row r="175" spans="18:20" x14ac:dyDescent="0.25">
      <c r="R175" t="s">
        <v>820</v>
      </c>
      <c r="S175" t="s">
        <v>821</v>
      </c>
      <c r="T175" t="s">
        <v>822</v>
      </c>
    </row>
    <row r="176" spans="18:20" x14ac:dyDescent="0.25">
      <c r="R176" t="s">
        <v>823</v>
      </c>
      <c r="S176" t="s">
        <v>824</v>
      </c>
      <c r="T176" t="s">
        <v>825</v>
      </c>
    </row>
    <row r="177" spans="18:20" x14ac:dyDescent="0.25">
      <c r="R177" t="s">
        <v>826</v>
      </c>
      <c r="S177" t="s">
        <v>827</v>
      </c>
      <c r="T177" t="s">
        <v>828</v>
      </c>
    </row>
    <row r="178" spans="18:20" x14ac:dyDescent="0.25">
      <c r="R178" t="s">
        <v>829</v>
      </c>
      <c r="S178" t="s">
        <v>830</v>
      </c>
      <c r="T178" t="s">
        <v>831</v>
      </c>
    </row>
    <row r="179" spans="18:20" x14ac:dyDescent="0.25">
      <c r="R179" t="s">
        <v>832</v>
      </c>
      <c r="S179" t="s">
        <v>833</v>
      </c>
      <c r="T179" t="s">
        <v>834</v>
      </c>
    </row>
    <row r="180" spans="18:20" x14ac:dyDescent="0.25">
      <c r="R180" t="s">
        <v>835</v>
      </c>
      <c r="S180" t="s">
        <v>836</v>
      </c>
      <c r="T180" t="s">
        <v>837</v>
      </c>
    </row>
    <row r="181" spans="18:20" x14ac:dyDescent="0.25">
      <c r="R181" t="s">
        <v>838</v>
      </c>
      <c r="S181" t="s">
        <v>839</v>
      </c>
      <c r="T181" t="s">
        <v>840</v>
      </c>
    </row>
    <row r="182" spans="18:20" x14ac:dyDescent="0.25">
      <c r="R182" t="s">
        <v>841</v>
      </c>
      <c r="S182" t="s">
        <v>842</v>
      </c>
      <c r="T182" t="s">
        <v>843</v>
      </c>
    </row>
    <row r="183" spans="18:20" x14ac:dyDescent="0.25">
      <c r="R183" t="s">
        <v>844</v>
      </c>
      <c r="S183" t="s">
        <v>845</v>
      </c>
      <c r="T183" t="s">
        <v>846</v>
      </c>
    </row>
    <row r="184" spans="18:20" x14ac:dyDescent="0.25">
      <c r="R184" t="s">
        <v>847</v>
      </c>
      <c r="S184" t="s">
        <v>848</v>
      </c>
      <c r="T184" t="s">
        <v>849</v>
      </c>
    </row>
    <row r="185" spans="18:20" x14ac:dyDescent="0.25">
      <c r="R185" t="s">
        <v>850</v>
      </c>
      <c r="S185" t="s">
        <v>851</v>
      </c>
      <c r="T185" t="s">
        <v>852</v>
      </c>
    </row>
    <row r="186" spans="18:20" x14ac:dyDescent="0.25">
      <c r="R186" t="s">
        <v>853</v>
      </c>
      <c r="S186" t="s">
        <v>854</v>
      </c>
      <c r="T186" t="s">
        <v>855</v>
      </c>
    </row>
    <row r="187" spans="18:20" x14ac:dyDescent="0.25">
      <c r="R187" t="s">
        <v>856</v>
      </c>
      <c r="S187" t="s">
        <v>857</v>
      </c>
      <c r="T187" t="s">
        <v>858</v>
      </c>
    </row>
    <row r="188" spans="18:20" x14ac:dyDescent="0.25">
      <c r="R188" t="s">
        <v>859</v>
      </c>
      <c r="S188" t="s">
        <v>860</v>
      </c>
      <c r="T188" t="s">
        <v>861</v>
      </c>
    </row>
    <row r="189" spans="18:20" x14ac:dyDescent="0.25">
      <c r="R189" t="s">
        <v>862</v>
      </c>
      <c r="S189" t="s">
        <v>863</v>
      </c>
      <c r="T189" t="s">
        <v>864</v>
      </c>
    </row>
    <row r="190" spans="18:20" x14ac:dyDescent="0.25">
      <c r="R190" t="s">
        <v>865</v>
      </c>
      <c r="S190" t="s">
        <v>866</v>
      </c>
      <c r="T190" t="s">
        <v>867</v>
      </c>
    </row>
    <row r="191" spans="18:20" x14ac:dyDescent="0.25">
      <c r="R191" t="s">
        <v>868</v>
      </c>
      <c r="S191" t="s">
        <v>869</v>
      </c>
      <c r="T191" t="s">
        <v>870</v>
      </c>
    </row>
    <row r="192" spans="18:20" x14ac:dyDescent="0.25">
      <c r="R192" t="s">
        <v>871</v>
      </c>
      <c r="S192" t="s">
        <v>872</v>
      </c>
      <c r="T192" t="s">
        <v>873</v>
      </c>
    </row>
    <row r="193" spans="18:20" x14ac:dyDescent="0.25">
      <c r="R193" t="s">
        <v>874</v>
      </c>
      <c r="S193" t="s">
        <v>875</v>
      </c>
      <c r="T193" t="s">
        <v>876</v>
      </c>
    </row>
    <row r="194" spans="18:20" x14ac:dyDescent="0.25">
      <c r="R194" t="s">
        <v>877</v>
      </c>
      <c r="S194" t="s">
        <v>878</v>
      </c>
      <c r="T194" t="s">
        <v>879</v>
      </c>
    </row>
    <row r="195" spans="18:20" x14ac:dyDescent="0.25">
      <c r="R195" t="s">
        <v>880</v>
      </c>
      <c r="S195" t="s">
        <v>881</v>
      </c>
      <c r="T195" t="s">
        <v>882</v>
      </c>
    </row>
    <row r="196" spans="18:20" x14ac:dyDescent="0.25">
      <c r="R196" t="s">
        <v>883</v>
      </c>
      <c r="S196" t="s">
        <v>884</v>
      </c>
      <c r="T196" t="s">
        <v>885</v>
      </c>
    </row>
    <row r="197" spans="18:20" x14ac:dyDescent="0.25">
      <c r="R197" t="s">
        <v>886</v>
      </c>
      <c r="S197" t="s">
        <v>887</v>
      </c>
      <c r="T197" t="s">
        <v>888</v>
      </c>
    </row>
    <row r="198" spans="18:20" x14ac:dyDescent="0.25">
      <c r="R198" t="s">
        <v>889</v>
      </c>
      <c r="S198" t="s">
        <v>890</v>
      </c>
      <c r="T198" t="s">
        <v>891</v>
      </c>
    </row>
    <row r="199" spans="18:20" x14ac:dyDescent="0.25">
      <c r="R199" t="s">
        <v>892</v>
      </c>
      <c r="S199" t="s">
        <v>893</v>
      </c>
      <c r="T199" t="s">
        <v>894</v>
      </c>
    </row>
    <row r="200" spans="18:20" x14ac:dyDescent="0.25">
      <c r="R200" t="s">
        <v>895</v>
      </c>
      <c r="S200" t="s">
        <v>896</v>
      </c>
      <c r="T200" t="s">
        <v>897</v>
      </c>
    </row>
    <row r="201" spans="18:20" x14ac:dyDescent="0.25">
      <c r="R201" t="s">
        <v>898</v>
      </c>
      <c r="S201" t="s">
        <v>899</v>
      </c>
      <c r="T201" t="s">
        <v>900</v>
      </c>
    </row>
    <row r="202" spans="18:20" x14ac:dyDescent="0.25">
      <c r="R202" t="s">
        <v>901</v>
      </c>
      <c r="S202" t="s">
        <v>902</v>
      </c>
      <c r="T202" t="s">
        <v>903</v>
      </c>
    </row>
    <row r="203" spans="18:20" x14ac:dyDescent="0.25">
      <c r="R203" t="s">
        <v>904</v>
      </c>
      <c r="S203" t="s">
        <v>905</v>
      </c>
      <c r="T203" t="s">
        <v>906</v>
      </c>
    </row>
    <row r="204" spans="18:20" x14ac:dyDescent="0.25">
      <c r="R204" t="s">
        <v>907</v>
      </c>
      <c r="S204" t="s">
        <v>908</v>
      </c>
      <c r="T204" t="s">
        <v>909</v>
      </c>
    </row>
    <row r="205" spans="18:20" x14ac:dyDescent="0.25">
      <c r="R205" t="s">
        <v>910</v>
      </c>
      <c r="S205" t="s">
        <v>911</v>
      </c>
      <c r="T205" t="s">
        <v>912</v>
      </c>
    </row>
    <row r="206" spans="18:20" x14ac:dyDescent="0.25">
      <c r="R206" t="s">
        <v>913</v>
      </c>
      <c r="S206" t="s">
        <v>914</v>
      </c>
      <c r="T206" t="s">
        <v>915</v>
      </c>
    </row>
    <row r="207" spans="18:20" x14ac:dyDescent="0.25">
      <c r="R207" t="s">
        <v>916</v>
      </c>
      <c r="S207" t="s">
        <v>917</v>
      </c>
      <c r="T207" t="s">
        <v>918</v>
      </c>
    </row>
    <row r="208" spans="18:20" x14ac:dyDescent="0.25">
      <c r="R208" t="s">
        <v>919</v>
      </c>
      <c r="S208" t="s">
        <v>920</v>
      </c>
      <c r="T208" t="s">
        <v>921</v>
      </c>
    </row>
    <row r="209" spans="18:20" x14ac:dyDescent="0.25">
      <c r="R209" t="s">
        <v>922</v>
      </c>
      <c r="S209" t="s">
        <v>923</v>
      </c>
      <c r="T209" t="s">
        <v>924</v>
      </c>
    </row>
    <row r="210" spans="18:20" x14ac:dyDescent="0.25">
      <c r="R210" t="s">
        <v>258</v>
      </c>
      <c r="S210" t="s">
        <v>925</v>
      </c>
      <c r="T210" t="s">
        <v>926</v>
      </c>
    </row>
    <row r="211" spans="18:20" x14ac:dyDescent="0.25">
      <c r="R211" t="s">
        <v>927</v>
      </c>
      <c r="S211" t="s">
        <v>928</v>
      </c>
      <c r="T211" t="s">
        <v>929</v>
      </c>
    </row>
    <row r="212" spans="18:20" x14ac:dyDescent="0.25">
      <c r="R212" t="s">
        <v>930</v>
      </c>
      <c r="S212" t="s">
        <v>931</v>
      </c>
      <c r="T212" t="s">
        <v>932</v>
      </c>
    </row>
    <row r="213" spans="18:20" x14ac:dyDescent="0.25">
      <c r="R213" t="s">
        <v>933</v>
      </c>
      <c r="S213" t="s">
        <v>934</v>
      </c>
      <c r="T213" t="s">
        <v>935</v>
      </c>
    </row>
    <row r="214" spans="18:20" x14ac:dyDescent="0.25">
      <c r="R214" t="s">
        <v>936</v>
      </c>
      <c r="S214" t="s">
        <v>937</v>
      </c>
      <c r="T214" t="s">
        <v>938</v>
      </c>
    </row>
    <row r="215" spans="18:20" x14ac:dyDescent="0.25">
      <c r="R215" t="s">
        <v>939</v>
      </c>
      <c r="S215" t="s">
        <v>940</v>
      </c>
      <c r="T215" t="s">
        <v>941</v>
      </c>
    </row>
    <row r="216" spans="18:20" x14ac:dyDescent="0.25">
      <c r="R216" t="s">
        <v>942</v>
      </c>
      <c r="S216" t="s">
        <v>943</v>
      </c>
      <c r="T216" t="s">
        <v>944</v>
      </c>
    </row>
    <row r="217" spans="18:20" x14ac:dyDescent="0.25">
      <c r="R217" t="s">
        <v>945</v>
      </c>
      <c r="S217" t="s">
        <v>946</v>
      </c>
      <c r="T217" t="s">
        <v>947</v>
      </c>
    </row>
    <row r="218" spans="18:20" x14ac:dyDescent="0.25">
      <c r="R218" t="s">
        <v>948</v>
      </c>
      <c r="S218" t="s">
        <v>949</v>
      </c>
      <c r="T218" t="s">
        <v>950</v>
      </c>
    </row>
    <row r="219" spans="18:20" x14ac:dyDescent="0.25">
      <c r="R219" t="s">
        <v>951</v>
      </c>
      <c r="S219" t="s">
        <v>952</v>
      </c>
      <c r="T219" t="s">
        <v>953</v>
      </c>
    </row>
    <row r="220" spans="18:20" x14ac:dyDescent="0.25">
      <c r="R220" t="s">
        <v>954</v>
      </c>
      <c r="S220" t="s">
        <v>955</v>
      </c>
      <c r="T220" t="s">
        <v>956</v>
      </c>
    </row>
    <row r="221" spans="18:20" x14ac:dyDescent="0.25">
      <c r="R221" t="s">
        <v>957</v>
      </c>
      <c r="S221" t="s">
        <v>958</v>
      </c>
      <c r="T221" t="s">
        <v>959</v>
      </c>
    </row>
    <row r="222" spans="18:20" x14ac:dyDescent="0.25">
      <c r="R222" t="s">
        <v>960</v>
      </c>
      <c r="S222" t="s">
        <v>961</v>
      </c>
      <c r="T222" t="s">
        <v>962</v>
      </c>
    </row>
    <row r="223" spans="18:20" x14ac:dyDescent="0.25">
      <c r="R223" t="s">
        <v>963</v>
      </c>
      <c r="S223" t="s">
        <v>964</v>
      </c>
      <c r="T223" t="s">
        <v>965</v>
      </c>
    </row>
    <row r="224" spans="18:20" x14ac:dyDescent="0.25">
      <c r="R224" t="s">
        <v>966</v>
      </c>
      <c r="S224" t="s">
        <v>967</v>
      </c>
      <c r="T224" t="s">
        <v>968</v>
      </c>
    </row>
    <row r="225" spans="18:20" x14ac:dyDescent="0.25">
      <c r="R225" t="s">
        <v>969</v>
      </c>
      <c r="S225" t="s">
        <v>970</v>
      </c>
      <c r="T225" t="s">
        <v>971</v>
      </c>
    </row>
    <row r="226" spans="18:20" x14ac:dyDescent="0.25">
      <c r="R226" t="s">
        <v>972</v>
      </c>
      <c r="S226" t="s">
        <v>973</v>
      </c>
      <c r="T226" t="s">
        <v>974</v>
      </c>
    </row>
    <row r="227" spans="18:20" x14ac:dyDescent="0.25">
      <c r="R227" t="s">
        <v>975</v>
      </c>
      <c r="S227" t="s">
        <v>976</v>
      </c>
      <c r="T227" t="s">
        <v>977</v>
      </c>
    </row>
    <row r="228" spans="18:20" x14ac:dyDescent="0.25">
      <c r="R228" t="s">
        <v>978</v>
      </c>
      <c r="S228" t="s">
        <v>979</v>
      </c>
      <c r="T228" t="s">
        <v>980</v>
      </c>
    </row>
    <row r="229" spans="18:20" x14ac:dyDescent="0.25">
      <c r="R229" t="s">
        <v>981</v>
      </c>
      <c r="S229" t="s">
        <v>982</v>
      </c>
      <c r="T229" t="s">
        <v>983</v>
      </c>
    </row>
    <row r="230" spans="18:20" x14ac:dyDescent="0.25">
      <c r="R230" t="s">
        <v>984</v>
      </c>
      <c r="S230" t="s">
        <v>985</v>
      </c>
      <c r="T230" t="s">
        <v>986</v>
      </c>
    </row>
    <row r="231" spans="18:20" x14ac:dyDescent="0.25">
      <c r="R231" t="s">
        <v>987</v>
      </c>
      <c r="S231" t="s">
        <v>988</v>
      </c>
      <c r="T231" t="s">
        <v>989</v>
      </c>
    </row>
    <row r="232" spans="18:20" x14ac:dyDescent="0.25">
      <c r="R232" t="s">
        <v>990</v>
      </c>
      <c r="S232" t="s">
        <v>991</v>
      </c>
      <c r="T232" t="s">
        <v>992</v>
      </c>
    </row>
    <row r="233" spans="18:20" x14ac:dyDescent="0.25">
      <c r="R233" t="s">
        <v>993</v>
      </c>
      <c r="S233" t="s">
        <v>994</v>
      </c>
      <c r="T233" t="s">
        <v>995</v>
      </c>
    </row>
    <row r="234" spans="18:20" x14ac:dyDescent="0.25">
      <c r="R234" t="s">
        <v>996</v>
      </c>
      <c r="S234" t="s">
        <v>298</v>
      </c>
      <c r="T234" t="s">
        <v>997</v>
      </c>
    </row>
    <row r="235" spans="18:20" x14ac:dyDescent="0.25">
      <c r="R235" t="s">
        <v>998</v>
      </c>
      <c r="S235" t="s">
        <v>999</v>
      </c>
      <c r="T235" t="s">
        <v>1000</v>
      </c>
    </row>
    <row r="236" spans="18:20" x14ac:dyDescent="0.25">
      <c r="R236" t="s">
        <v>1001</v>
      </c>
      <c r="S236" t="s">
        <v>1002</v>
      </c>
      <c r="T236" t="s">
        <v>1003</v>
      </c>
    </row>
    <row r="237" spans="18:20" x14ac:dyDescent="0.25">
      <c r="R237" t="s">
        <v>1004</v>
      </c>
      <c r="S237" t="s">
        <v>1005</v>
      </c>
      <c r="T237" t="s">
        <v>1006</v>
      </c>
    </row>
    <row r="238" spans="18:20" x14ac:dyDescent="0.25">
      <c r="R238" t="s">
        <v>1007</v>
      </c>
      <c r="S238" t="s">
        <v>1008</v>
      </c>
      <c r="T238" t="s">
        <v>1009</v>
      </c>
    </row>
    <row r="239" spans="18:20" x14ac:dyDescent="0.25">
      <c r="R239" t="s">
        <v>1010</v>
      </c>
      <c r="S239" t="s">
        <v>1011</v>
      </c>
      <c r="T239" t="s">
        <v>1012</v>
      </c>
    </row>
    <row r="240" spans="18:20" x14ac:dyDescent="0.25">
      <c r="R240" t="s">
        <v>1013</v>
      </c>
      <c r="S240" t="s">
        <v>1014</v>
      </c>
      <c r="T240" t="s">
        <v>1015</v>
      </c>
    </row>
    <row r="241" spans="18:20" x14ac:dyDescent="0.25">
      <c r="R241" t="s">
        <v>1016</v>
      </c>
      <c r="S241" t="s">
        <v>1017</v>
      </c>
      <c r="T241" t="s">
        <v>1018</v>
      </c>
    </row>
    <row r="242" spans="18:20" x14ac:dyDescent="0.25">
      <c r="R242" t="s">
        <v>1019</v>
      </c>
      <c r="S242" t="s">
        <v>1020</v>
      </c>
      <c r="T242" t="s">
        <v>1021</v>
      </c>
    </row>
    <row r="243" spans="18:20" x14ac:dyDescent="0.25">
      <c r="R243" t="s">
        <v>1022</v>
      </c>
      <c r="S243" t="s">
        <v>1023</v>
      </c>
      <c r="T243" t="s">
        <v>1024</v>
      </c>
    </row>
    <row r="244" spans="18:20" x14ac:dyDescent="0.25">
      <c r="R244" t="s">
        <v>1025</v>
      </c>
      <c r="S244" t="s">
        <v>1026</v>
      </c>
      <c r="T244" t="s">
        <v>1027</v>
      </c>
    </row>
    <row r="245" spans="18:20" x14ac:dyDescent="0.25">
      <c r="R245" t="s">
        <v>1028</v>
      </c>
      <c r="S245" t="s">
        <v>1029</v>
      </c>
      <c r="T245" t="s">
        <v>1030</v>
      </c>
    </row>
    <row r="246" spans="18:20" x14ac:dyDescent="0.25">
      <c r="R246" t="s">
        <v>1031</v>
      </c>
      <c r="S246" t="s">
        <v>1032</v>
      </c>
      <c r="T246" t="s">
        <v>1033</v>
      </c>
    </row>
    <row r="247" spans="18:20" x14ac:dyDescent="0.25">
      <c r="R247" t="s">
        <v>1034</v>
      </c>
      <c r="S247" t="s">
        <v>1035</v>
      </c>
      <c r="T247" t="s">
        <v>1036</v>
      </c>
    </row>
    <row r="248" spans="18:20" x14ac:dyDescent="0.25">
      <c r="R248" t="s">
        <v>1037</v>
      </c>
      <c r="S248" t="s">
        <v>1038</v>
      </c>
      <c r="T248" t="s">
        <v>1039</v>
      </c>
    </row>
    <row r="249" spans="18:20" x14ac:dyDescent="0.25">
      <c r="R249" t="s">
        <v>1040</v>
      </c>
      <c r="S249" t="s">
        <v>1041</v>
      </c>
      <c r="T249" t="s">
        <v>1042</v>
      </c>
    </row>
    <row r="250" spans="18:20" x14ac:dyDescent="0.25">
      <c r="R250" t="s">
        <v>266</v>
      </c>
      <c r="S250" t="s">
        <v>1043</v>
      </c>
      <c r="T250" t="s">
        <v>1044</v>
      </c>
    </row>
    <row r="251" spans="18:20" x14ac:dyDescent="0.25">
      <c r="R251" t="s">
        <v>236</v>
      </c>
      <c r="S251" t="s">
        <v>1045</v>
      </c>
      <c r="T251" t="s">
        <v>1046</v>
      </c>
    </row>
  </sheetData>
  <sheetProtection algorithmName="SHA-512" hashValue="ICvFvX8WIN2jpcbvXgT1vA9HMBftJQxBuTc0Porli2iBV98XCesXXkollaopl6RvbvbPzQyignV6tzdaeEsjCw==" saltValue="9sHSrmluc+7Pb7vdCGGvYw==" spinCount="100000" sheet="1" objects="1" scenarios="1"/>
  <phoneticPr fontId="28" type="noConversion"/>
  <hyperlinks>
    <hyperlink ref="Y3" r:id="rId1" xr:uid="{46051C56-767B-4680-A451-334C94866BF2}"/>
  </hyperlinks>
  <pageMargins left="0.7" right="0.7" top="0.75" bottom="0.75" header="0.3" footer="0.3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F244-D3BD-438E-88C1-ADEB91352A7F}">
  <sheetPr codeName="Sheet12"/>
  <dimension ref="A1:P15"/>
  <sheetViews>
    <sheetView showGridLines="0" workbookViewId="0">
      <selection activeCell="B28" sqref="B28"/>
    </sheetView>
  </sheetViews>
  <sheetFormatPr defaultRowHeight="15" x14ac:dyDescent="0.25"/>
  <cols>
    <col min="1" max="1" width="15" bestFit="1" customWidth="1"/>
    <col min="2" max="2" width="13.28515625" bestFit="1" customWidth="1"/>
    <col min="3" max="3" width="23.28515625" bestFit="1" customWidth="1"/>
    <col min="4" max="4" width="16.28515625" bestFit="1" customWidth="1"/>
    <col min="5" max="5" width="20.7109375" bestFit="1" customWidth="1"/>
    <col min="6" max="6" width="20.5703125" bestFit="1" customWidth="1"/>
    <col min="7" max="7" width="17.140625" bestFit="1" customWidth="1"/>
    <col min="8" max="8" width="19.42578125" bestFit="1" customWidth="1"/>
    <col min="9" max="9" width="17.28515625" bestFit="1" customWidth="1"/>
    <col min="10" max="10" width="17.28515625" customWidth="1"/>
    <col min="11" max="11" width="15.85546875" customWidth="1"/>
    <col min="12" max="12" width="15.5703125" bestFit="1" customWidth="1"/>
    <col min="13" max="13" width="21" bestFit="1" customWidth="1"/>
    <col min="14" max="14" width="13.5703125" bestFit="1" customWidth="1"/>
    <col min="15" max="15" width="12" bestFit="1" customWidth="1"/>
  </cols>
  <sheetData>
    <row r="1" spans="1:16" x14ac:dyDescent="0.25">
      <c r="A1" t="s">
        <v>7</v>
      </c>
      <c r="B1" t="s">
        <v>13</v>
      </c>
      <c r="C1" t="s">
        <v>17</v>
      </c>
      <c r="D1" t="s">
        <v>18</v>
      </c>
      <c r="E1" t="s">
        <v>23</v>
      </c>
      <c r="F1" t="s">
        <v>24</v>
      </c>
      <c r="G1" t="s">
        <v>1056</v>
      </c>
      <c r="H1" t="s">
        <v>30</v>
      </c>
      <c r="I1" t="s">
        <v>31</v>
      </c>
      <c r="J1" t="s">
        <v>33</v>
      </c>
      <c r="K1" t="s">
        <v>39</v>
      </c>
      <c r="L1" t="s">
        <v>41</v>
      </c>
      <c r="M1" t="s">
        <v>43</v>
      </c>
      <c r="N1" t="s">
        <v>44</v>
      </c>
      <c r="O1" t="s">
        <v>20</v>
      </c>
    </row>
    <row r="2" spans="1:16" x14ac:dyDescent="0.25">
      <c r="A2" t="str">
        <f>Overview!$D$6</f>
        <v>QUO10001</v>
      </c>
      <c r="B2" t="str">
        <f>Overview!$D$7</f>
        <v>Alan Wierciak</v>
      </c>
      <c r="C2" t="str">
        <f>Overview!$D$8</f>
        <v>Aurora Interiors</v>
      </c>
      <c r="D2" t="str">
        <f>Overview!$D$9</f>
        <v>Calcium Sulphate</v>
      </c>
      <c r="E2" t="str">
        <f>Overview!$D$12</f>
        <v>Kolwezi Cobalt Mine</v>
      </c>
      <c r="F2" t="str">
        <f>Overview!$D$13</f>
        <v>Kolwezi</v>
      </c>
      <c r="G2" s="215">
        <f>Overview!$D$14</f>
        <v>45658</v>
      </c>
      <c r="H2" t="str">
        <f>Overview!$D$16</f>
        <v>15 Days after Delivery</v>
      </c>
      <c r="I2" t="str">
        <f>Overview!$D$17</f>
        <v>USD</v>
      </c>
      <c r="J2" s="120">
        <f>Overview!$D$18</f>
        <v>20</v>
      </c>
      <c r="K2" t="str">
        <f>Overview!$D$20</f>
        <v>DAP</v>
      </c>
      <c r="L2" t="str">
        <f>Overview!$D$21</f>
        <v>Standard</v>
      </c>
      <c r="M2" s="121">
        <f>Overview!$D$22</f>
        <v>8400</v>
      </c>
      <c r="N2" s="121">
        <f>Overview!$D$23</f>
        <v>25000</v>
      </c>
      <c r="O2" t="str">
        <f>Overview!$D$10</f>
        <v>Single</v>
      </c>
    </row>
    <row r="5" spans="1:16" x14ac:dyDescent="0.25">
      <c r="A5" t="s">
        <v>12</v>
      </c>
      <c r="B5" t="s">
        <v>88</v>
      </c>
      <c r="C5" t="s">
        <v>70</v>
      </c>
      <c r="D5" t="s">
        <v>94</v>
      </c>
      <c r="E5" t="s">
        <v>85</v>
      </c>
      <c r="F5" t="s">
        <v>86</v>
      </c>
      <c r="G5" t="s">
        <v>55</v>
      </c>
      <c r="H5" t="s">
        <v>96</v>
      </c>
      <c r="I5" t="s">
        <v>74</v>
      </c>
      <c r="J5" t="s">
        <v>97</v>
      </c>
      <c r="K5" t="s">
        <v>26</v>
      </c>
      <c r="L5" t="s">
        <v>29</v>
      </c>
      <c r="M5" t="s">
        <v>98</v>
      </c>
      <c r="N5" s="28"/>
      <c r="O5" s="67"/>
      <c r="P5" s="67"/>
    </row>
    <row r="6" spans="1:16" x14ac:dyDescent="0.25">
      <c r="A6" s="91">
        <f>'Sales Tbls - One Prod'!E5</f>
        <v>1000</v>
      </c>
      <c r="B6" s="121">
        <f>'Sales Tbls - One Prod'!$G$8</f>
        <v>950000</v>
      </c>
      <c r="C6" s="121">
        <f>'Sales Tbls - One Prod'!$G$10</f>
        <v>850000</v>
      </c>
      <c r="D6" s="121">
        <f>'Sales Tbls - One Prod'!$G$12</f>
        <v>500000</v>
      </c>
      <c r="E6" s="121">
        <f>'Sales Tbls - One Prod'!$G$13</f>
        <v>325000</v>
      </c>
      <c r="F6" s="121">
        <f>'Sales Tbls - One Prod'!$G$14</f>
        <v>0</v>
      </c>
      <c r="G6" s="121">
        <f>'Sales Tbls - One Prod'!$G$15</f>
        <v>0</v>
      </c>
      <c r="H6" s="121">
        <f>'Sales Tbls - One Prod'!$G$16</f>
        <v>0</v>
      </c>
      <c r="I6" s="121">
        <f>'Sales Tbls - One Prod'!$G$17</f>
        <v>0</v>
      </c>
      <c r="J6" s="121">
        <f>'Sales Tbls - One Prod'!$G$18</f>
        <v>25000</v>
      </c>
      <c r="K6" s="121">
        <f>'Sales Tbls - One Prod'!$G$19</f>
        <v>0</v>
      </c>
      <c r="L6" s="121">
        <f>'Sales Tbls - One Prod'!G23</f>
        <v>7644.2307692307713</v>
      </c>
      <c r="M6" s="121">
        <f>'Sales Tbls - One Prod'!$G$21</f>
        <v>100000</v>
      </c>
    </row>
    <row r="9" spans="1:16" x14ac:dyDescent="0.25">
      <c r="A9" t="s">
        <v>7</v>
      </c>
      <c r="B9" t="s">
        <v>13</v>
      </c>
      <c r="C9" t="s">
        <v>17</v>
      </c>
      <c r="D9" t="s">
        <v>18</v>
      </c>
      <c r="E9" t="s">
        <v>23</v>
      </c>
      <c r="F9" t="s">
        <v>24</v>
      </c>
    </row>
    <row r="10" spans="1:16" x14ac:dyDescent="0.25">
      <c r="A10" t="str">
        <f>Overview!$D$6</f>
        <v>QUO10001</v>
      </c>
      <c r="B10" t="str">
        <f>Overview!$D$7</f>
        <v>Alan Wierciak</v>
      </c>
      <c r="C10" t="str">
        <f>Overview!$D$8</f>
        <v>Aurora Interiors</v>
      </c>
      <c r="D10" t="str">
        <f>Overview!$D$9</f>
        <v>Calcium Sulphate</v>
      </c>
      <c r="E10" t="str">
        <f>Overview!$D$12</f>
        <v>Kolwezi Cobalt Mine</v>
      </c>
      <c r="F10" t="str">
        <f>Overview!$D$13</f>
        <v>Kolwezi</v>
      </c>
    </row>
    <row r="13" spans="1:16" x14ac:dyDescent="0.25">
      <c r="A13" t="s">
        <v>1057</v>
      </c>
      <c r="B13" t="s">
        <v>11</v>
      </c>
      <c r="C13" t="s">
        <v>56</v>
      </c>
      <c r="D13" t="s">
        <v>12</v>
      </c>
      <c r="E13" t="s">
        <v>71</v>
      </c>
      <c r="F13" t="s">
        <v>1058</v>
      </c>
      <c r="G13" t="s">
        <v>19</v>
      </c>
      <c r="H13" t="s">
        <v>22</v>
      </c>
      <c r="I13" t="s">
        <v>26</v>
      </c>
      <c r="J13" t="s">
        <v>70</v>
      </c>
      <c r="K13" t="s">
        <v>95</v>
      </c>
      <c r="L13" t="s">
        <v>1059</v>
      </c>
      <c r="M13" t="s">
        <v>29</v>
      </c>
    </row>
    <row r="14" spans="1:16" x14ac:dyDescent="0.25">
      <c r="A14" s="270" t="str">
        <f>Overview!$D$6</f>
        <v>QUO10001</v>
      </c>
      <c r="B14" s="270" t="str">
        <f>Overview!$D$9</f>
        <v>Calcium Sulphate</v>
      </c>
      <c r="C14" s="270" t="str">
        <f>'Stock Cost'!$H$6</f>
        <v>MT</v>
      </c>
      <c r="D14" s="91">
        <f>SUM(stock_cost[Quantity])</f>
        <v>1000</v>
      </c>
      <c r="E14" t="s">
        <v>8</v>
      </c>
      <c r="F14" s="121">
        <f>Overview!$D$18</f>
        <v>20</v>
      </c>
      <c r="G14" s="121">
        <f>Overview!L9</f>
        <v>950000</v>
      </c>
      <c r="H14" s="121">
        <f>Overview!L11</f>
        <v>850000</v>
      </c>
      <c r="I14" s="121">
        <f>Overview!L13</f>
        <v>100000</v>
      </c>
      <c r="J14" s="121" cm="1">
        <f t="array" ref="J14">IFERROR(IF('Stock Cost'!K6="USD",SUM(stock_cost[Total Cost]),SUM(stock_cost[Total Cost]/Overview!D18)),"")</f>
        <v>500000</v>
      </c>
      <c r="K14" s="121" cm="1">
        <f t="array" ref="K14">IFERROR(IF(transport_cost[Cost Currency]="USD",SUM(transport_cost[Total Cost]),SUM(transport_cost[Total Cost]/Overview!D18)),"")</f>
        <v>325000</v>
      </c>
      <c r="L14" s="121" cm="1">
        <f t="array" ref="L14">IFERROR(IF(ad_hoc_cost[Cost Currency]="USD",SUM(ad_hoc_cost[Total Cost]),SUM(ad_hoc_cost[Total Cost]/Overview!D18)),"")</f>
        <v>25000</v>
      </c>
      <c r="M14" s="121">
        <f>Overview!L15</f>
        <v>7644.2307692307713</v>
      </c>
    </row>
    <row r="15" spans="1:16" x14ac:dyDescent="0.25">
      <c r="A15" s="270" t="str">
        <f>Overview!$D$6</f>
        <v>QUO10001</v>
      </c>
      <c r="B15" s="270" t="str">
        <f>Overview!$D$9</f>
        <v>Calcium Sulphate</v>
      </c>
      <c r="C15" s="270" t="str">
        <f>'Stock Cost'!$H$6</f>
        <v>MT</v>
      </c>
      <c r="D15" s="91">
        <f>SUM(stock_cost[Quantity])</f>
        <v>1000</v>
      </c>
      <c r="E15" t="s">
        <v>9</v>
      </c>
      <c r="F15" s="121">
        <f>Overview!$D$18</f>
        <v>20</v>
      </c>
      <c r="G15" s="121">
        <f>Overview!P9</f>
        <v>19000000</v>
      </c>
      <c r="H15" s="121">
        <f>Overview!P11</f>
        <v>17000000</v>
      </c>
      <c r="I15" s="121">
        <f>Overview!P13</f>
        <v>2000000</v>
      </c>
      <c r="J15" s="121" cm="1">
        <f t="array" ref="J15">IFERROR(IF('Stock Cost'!K6="ZAR",SUM(stock_cost[Total Cost]),SUM(stock_cost[Total Cost]*Overview!D18)),"")</f>
        <v>10000000</v>
      </c>
      <c r="K15" s="121" cm="1">
        <f t="array" ref="K15">IFERROR(IF(transport_cost[Cost Currency]="ZAR",SUM(transport_cost[Total Cost]),SUM(transport_cost[Total Cost]*Overview!D18)),"")</f>
        <v>6500000</v>
      </c>
      <c r="L15" s="121" cm="1">
        <f t="array" ref="L15">IFERROR(IF(ad_hoc_cost[Cost Currency]="ZAR",SUM(ad_hoc_cost[Total Cost]),SUM(ad_hoc_cost[Total Cost]*Overview!D18)),"")</f>
        <v>500000</v>
      </c>
      <c r="M15" s="121">
        <f>Overview!P15</f>
        <v>152884.61538461543</v>
      </c>
    </row>
  </sheetData>
  <sheetProtection algorithmName="SHA-512" hashValue="/4EaxFZOQHvnvYPZNpqf8qvcl2Vr9PEMRC/W7w9wN+iTv7xavaYYfrHRMcrhAXRB5TH/XuHCc4NGuNAkbHyHqQ==" saltValue="QHWRCSa010VQsHOv4I9oBw==" spinCount="100000" sheet="1" objects="1" scenarios="1"/>
  <pageMargins left="0.7" right="0.7" top="0.75" bottom="0.75" header="0.3" footer="0.3"/>
  <pageSetup paperSize="9"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033B-F3BB-4629-9E3D-C862D3F285A2}">
  <dimension ref="A1:AA101"/>
  <sheetViews>
    <sheetView showGridLines="0" topLeftCell="K1" workbookViewId="0">
      <selection activeCell="W26" sqref="W26"/>
    </sheetView>
  </sheetViews>
  <sheetFormatPr defaultRowHeight="15" x14ac:dyDescent="0.25"/>
  <cols>
    <col min="1" max="1" width="10.85546875" style="140" bestFit="1" customWidth="1"/>
    <col min="2" max="2" width="23.140625" style="140" bestFit="1" customWidth="1"/>
    <col min="3" max="3" width="17.140625" style="140" bestFit="1" customWidth="1"/>
    <col min="4" max="4" width="18.7109375" style="140" bestFit="1" customWidth="1"/>
    <col min="5" max="5" width="13.5703125" style="140" bestFit="1" customWidth="1"/>
    <col min="6" max="6" width="9.140625" style="140"/>
    <col min="7" max="7" width="13.5703125" style="140" bestFit="1" customWidth="1"/>
    <col min="8" max="8" width="24.5703125" style="140" bestFit="1" customWidth="1"/>
    <col min="9" max="9" width="31.140625" style="140" bestFit="1" customWidth="1"/>
    <col min="10" max="10" width="10.5703125" style="140" bestFit="1" customWidth="1"/>
    <col min="11" max="11" width="9.140625" style="140"/>
    <col min="12" max="12" width="30.5703125" style="140" bestFit="1" customWidth="1"/>
    <col min="13" max="13" width="13.42578125" style="140" bestFit="1" customWidth="1"/>
    <col min="14" max="14" width="12.5703125" style="140" bestFit="1" customWidth="1"/>
    <col min="15" max="15" width="9.140625" style="140"/>
    <col min="16" max="16" width="9.5703125" style="140" bestFit="1" customWidth="1"/>
    <col min="17" max="17" width="23.7109375" style="140" bestFit="1" customWidth="1"/>
    <col min="18" max="18" width="9.140625" style="140"/>
    <col min="19" max="19" width="15.42578125" style="140" bestFit="1" customWidth="1"/>
    <col min="20" max="20" width="31.5703125" style="140" bestFit="1" customWidth="1"/>
    <col min="21" max="21" width="9.140625" style="140"/>
    <col min="22" max="22" width="14" style="140" bestFit="1" customWidth="1"/>
    <col min="23" max="23" width="27.85546875" style="140" bestFit="1" customWidth="1"/>
    <col min="24" max="24" width="9.140625" style="140"/>
    <col min="25" max="25" width="11.7109375" style="140" bestFit="1" customWidth="1"/>
    <col min="26" max="26" width="13.42578125" style="140" bestFit="1" customWidth="1"/>
    <col min="27" max="27" width="15.42578125" style="140" bestFit="1" customWidth="1"/>
    <col min="28" max="16384" width="9.140625" style="140"/>
  </cols>
  <sheetData>
    <row r="1" spans="1:27" x14ac:dyDescent="0.25">
      <c r="A1" s="411" t="s">
        <v>1262</v>
      </c>
      <c r="B1" s="412" t="s">
        <v>1261</v>
      </c>
      <c r="C1" s="412" t="s">
        <v>30</v>
      </c>
      <c r="D1" s="412" t="s">
        <v>43</v>
      </c>
      <c r="E1" s="413" t="s">
        <v>44</v>
      </c>
      <c r="G1" s="411" t="s">
        <v>1263</v>
      </c>
      <c r="H1" s="412" t="s">
        <v>51</v>
      </c>
      <c r="I1" s="412" t="s">
        <v>52</v>
      </c>
      <c r="J1" s="413" t="s">
        <v>54</v>
      </c>
      <c r="L1" s="411" t="s">
        <v>23</v>
      </c>
      <c r="M1" s="412" t="s">
        <v>1047</v>
      </c>
      <c r="N1" s="413" t="s">
        <v>227</v>
      </c>
      <c r="P1" s="411" t="s">
        <v>1462</v>
      </c>
      <c r="Q1" s="413" t="s">
        <v>61</v>
      </c>
      <c r="S1" s="411" t="s">
        <v>1464</v>
      </c>
      <c r="T1" s="413" t="s">
        <v>1465</v>
      </c>
      <c r="V1" s="411" t="s">
        <v>1472</v>
      </c>
      <c r="W1" s="413" t="s">
        <v>37</v>
      </c>
      <c r="Y1" s="411" t="s">
        <v>1523</v>
      </c>
      <c r="Z1" s="412" t="s">
        <v>1524</v>
      </c>
      <c r="AA1" s="413" t="s">
        <v>1464</v>
      </c>
    </row>
    <row r="2" spans="1:27" x14ac:dyDescent="0.25">
      <c r="A2" s="414" t="s">
        <v>1260</v>
      </c>
      <c r="B2" s="415" t="s">
        <v>1259</v>
      </c>
      <c r="C2" s="415">
        <v>30</v>
      </c>
      <c r="D2" s="416">
        <v>42380</v>
      </c>
      <c r="E2" s="417">
        <v>75000</v>
      </c>
      <c r="G2" s="414" t="s">
        <v>1264</v>
      </c>
      <c r="H2" s="415" t="s">
        <v>1051</v>
      </c>
      <c r="I2" s="415" t="s">
        <v>1265</v>
      </c>
      <c r="J2" s="418" t="s">
        <v>1336</v>
      </c>
      <c r="L2" s="414" t="s">
        <v>1358</v>
      </c>
      <c r="M2" s="415" t="s">
        <v>246</v>
      </c>
      <c r="N2" s="419" t="s">
        <v>247</v>
      </c>
      <c r="P2" s="414" t="s">
        <v>1431</v>
      </c>
      <c r="Q2" s="419" t="s">
        <v>1463</v>
      </c>
      <c r="S2" s="414" t="s">
        <v>295</v>
      </c>
      <c r="T2" s="419" t="s">
        <v>293</v>
      </c>
      <c r="V2" s="414" t="s">
        <v>1473</v>
      </c>
      <c r="W2" s="419" t="s">
        <v>1474</v>
      </c>
      <c r="Y2" s="414" t="s">
        <v>1525</v>
      </c>
      <c r="Z2" s="415" t="s">
        <v>309</v>
      </c>
      <c r="AA2" s="419" t="s">
        <v>926</v>
      </c>
    </row>
    <row r="3" spans="1:27" x14ac:dyDescent="0.25">
      <c r="A3" s="414" t="s">
        <v>1258</v>
      </c>
      <c r="B3" s="415" t="s">
        <v>1257</v>
      </c>
      <c r="C3" s="415">
        <v>60</v>
      </c>
      <c r="D3" s="416">
        <v>18240</v>
      </c>
      <c r="E3" s="417">
        <v>50000</v>
      </c>
      <c r="G3" s="414" t="s">
        <v>1266</v>
      </c>
      <c r="H3" s="415" t="s">
        <v>1267</v>
      </c>
      <c r="I3" s="415" t="s">
        <v>1268</v>
      </c>
      <c r="J3" s="418">
        <v>2833.11</v>
      </c>
      <c r="L3" s="414" t="s">
        <v>1414</v>
      </c>
      <c r="M3" s="415" t="s">
        <v>1415</v>
      </c>
      <c r="N3" s="419" t="s">
        <v>236</v>
      </c>
      <c r="P3" s="414" t="s">
        <v>1447</v>
      </c>
      <c r="Q3" s="419" t="s">
        <v>1432</v>
      </c>
      <c r="S3" s="414" t="s">
        <v>319</v>
      </c>
      <c r="T3" s="419" t="s">
        <v>317</v>
      </c>
      <c r="V3" s="414" t="s">
        <v>1475</v>
      </c>
      <c r="W3" s="419" t="s">
        <v>1476</v>
      </c>
      <c r="Y3" s="414" t="s">
        <v>275</v>
      </c>
      <c r="Z3" s="415" t="s">
        <v>257</v>
      </c>
      <c r="AA3" s="419" t="s">
        <v>926</v>
      </c>
    </row>
    <row r="4" spans="1:27" x14ac:dyDescent="0.25">
      <c r="A4" s="414" t="s">
        <v>1256</v>
      </c>
      <c r="B4" s="415" t="s">
        <v>1255</v>
      </c>
      <c r="C4" s="415">
        <v>45</v>
      </c>
      <c r="D4" s="416">
        <v>62000</v>
      </c>
      <c r="E4" s="417">
        <v>80000</v>
      </c>
      <c r="G4" s="414" t="s">
        <v>1269</v>
      </c>
      <c r="H4" s="415" t="s">
        <v>1270</v>
      </c>
      <c r="I4" s="415" t="s">
        <v>1271</v>
      </c>
      <c r="J4" s="418">
        <v>3102.21</v>
      </c>
      <c r="L4" s="414" t="s">
        <v>1424</v>
      </c>
      <c r="M4" s="415" t="s">
        <v>1425</v>
      </c>
      <c r="N4" s="419" t="s">
        <v>236</v>
      </c>
      <c r="P4" s="414" t="s">
        <v>1448</v>
      </c>
      <c r="Q4" s="419" t="s">
        <v>1433</v>
      </c>
      <c r="S4" s="414" t="s">
        <v>330</v>
      </c>
      <c r="T4" s="419" t="s">
        <v>328</v>
      </c>
      <c r="V4" s="414" t="s">
        <v>1477</v>
      </c>
      <c r="W4" s="419" t="s">
        <v>1478</v>
      </c>
      <c r="Y4" s="414" t="s">
        <v>1526</v>
      </c>
      <c r="Z4" s="415" t="s">
        <v>369</v>
      </c>
      <c r="AA4" s="419" t="s">
        <v>1044</v>
      </c>
    </row>
    <row r="5" spans="1:27" x14ac:dyDescent="0.25">
      <c r="A5" s="414" t="s">
        <v>1254</v>
      </c>
      <c r="B5" s="415" t="s">
        <v>1253</v>
      </c>
      <c r="C5" s="415">
        <v>30</v>
      </c>
      <c r="D5" s="416">
        <v>5900</v>
      </c>
      <c r="E5" s="417">
        <v>25000</v>
      </c>
      <c r="G5" s="414" t="s">
        <v>1272</v>
      </c>
      <c r="H5" s="415" t="s">
        <v>1052</v>
      </c>
      <c r="I5" s="415" t="s">
        <v>1273</v>
      </c>
      <c r="J5" s="418" t="s">
        <v>1337</v>
      </c>
      <c r="L5" s="414" t="s">
        <v>1369</v>
      </c>
      <c r="M5" s="415" t="s">
        <v>1370</v>
      </c>
      <c r="N5" s="419" t="s">
        <v>709</v>
      </c>
      <c r="P5" s="414" t="s">
        <v>1449</v>
      </c>
      <c r="Q5" s="419" t="s">
        <v>1434</v>
      </c>
      <c r="S5" s="414" t="s">
        <v>360</v>
      </c>
      <c r="T5" s="419" t="s">
        <v>69</v>
      </c>
      <c r="V5" s="414" t="s">
        <v>1479</v>
      </c>
      <c r="W5" s="419" t="s">
        <v>1480</v>
      </c>
      <c r="Y5" s="414" t="s">
        <v>1527</v>
      </c>
      <c r="Z5" s="415" t="s">
        <v>392</v>
      </c>
      <c r="AA5" s="419" t="s">
        <v>1044</v>
      </c>
    </row>
    <row r="6" spans="1:27" x14ac:dyDescent="0.25">
      <c r="A6" s="414" t="s">
        <v>1252</v>
      </c>
      <c r="B6" s="415" t="s">
        <v>1251</v>
      </c>
      <c r="C6" s="415">
        <v>15</v>
      </c>
      <c r="D6" s="416">
        <v>33220</v>
      </c>
      <c r="E6" s="417">
        <v>60000</v>
      </c>
      <c r="G6" s="414" t="s">
        <v>1274</v>
      </c>
      <c r="H6" s="415" t="s">
        <v>1275</v>
      </c>
      <c r="I6" s="415" t="s">
        <v>1276</v>
      </c>
      <c r="J6" s="418" t="s">
        <v>1338</v>
      </c>
      <c r="L6" s="414" t="s">
        <v>1407</v>
      </c>
      <c r="M6" s="415" t="s">
        <v>1408</v>
      </c>
      <c r="N6" s="419" t="s">
        <v>236</v>
      </c>
      <c r="P6" s="414" t="s">
        <v>1450</v>
      </c>
      <c r="Q6" s="419" t="s">
        <v>1435</v>
      </c>
      <c r="S6" s="414" t="s">
        <v>391</v>
      </c>
      <c r="T6" s="419" t="s">
        <v>389</v>
      </c>
      <c r="V6" s="414" t="s">
        <v>1481</v>
      </c>
      <c r="W6" s="419" t="s">
        <v>1482</v>
      </c>
      <c r="Y6" s="414" t="s">
        <v>1528</v>
      </c>
      <c r="Z6" s="415" t="s">
        <v>303</v>
      </c>
      <c r="AA6" s="419" t="s">
        <v>1046</v>
      </c>
    </row>
    <row r="7" spans="1:27" x14ac:dyDescent="0.25">
      <c r="A7" s="414" t="s">
        <v>1250</v>
      </c>
      <c r="B7" s="415" t="s">
        <v>1249</v>
      </c>
      <c r="C7" s="415">
        <v>30</v>
      </c>
      <c r="D7" s="416">
        <v>14500</v>
      </c>
      <c r="E7" s="417">
        <v>40000</v>
      </c>
      <c r="G7" s="414" t="s">
        <v>1277</v>
      </c>
      <c r="H7" s="415" t="s">
        <v>1278</v>
      </c>
      <c r="I7" s="415" t="s">
        <v>1279</v>
      </c>
      <c r="J7" s="418" t="s">
        <v>1339</v>
      </c>
      <c r="L7" s="414" t="s">
        <v>1387</v>
      </c>
      <c r="M7" s="415" t="s">
        <v>1388</v>
      </c>
      <c r="N7" s="419" t="s">
        <v>266</v>
      </c>
      <c r="P7" s="414" t="s">
        <v>1451</v>
      </c>
      <c r="Q7" s="419" t="s">
        <v>1436</v>
      </c>
      <c r="S7" s="414" t="s">
        <v>399</v>
      </c>
      <c r="T7" s="419" t="s">
        <v>397</v>
      </c>
      <c r="V7" s="414" t="s">
        <v>1483</v>
      </c>
      <c r="W7" s="419" t="s">
        <v>1484</v>
      </c>
      <c r="Y7" s="414" t="s">
        <v>1529</v>
      </c>
      <c r="Z7" s="415" t="s">
        <v>1370</v>
      </c>
      <c r="AA7" s="419" t="s">
        <v>711</v>
      </c>
    </row>
    <row r="8" spans="1:27" x14ac:dyDescent="0.25">
      <c r="A8" s="414" t="s">
        <v>1248</v>
      </c>
      <c r="B8" s="415" t="s">
        <v>1247</v>
      </c>
      <c r="C8" s="415">
        <v>60</v>
      </c>
      <c r="D8" s="416">
        <v>76400</v>
      </c>
      <c r="E8" s="417">
        <v>100000</v>
      </c>
      <c r="G8" s="414" t="s">
        <v>1280</v>
      </c>
      <c r="H8" s="415" t="s">
        <v>1281</v>
      </c>
      <c r="I8" s="415" t="s">
        <v>1282</v>
      </c>
      <c r="J8" s="418">
        <v>2833.29</v>
      </c>
      <c r="L8" s="414" t="s">
        <v>1419</v>
      </c>
      <c r="M8" s="415" t="s">
        <v>1420</v>
      </c>
      <c r="N8" s="419" t="s">
        <v>266</v>
      </c>
      <c r="P8" s="414" t="s">
        <v>1452</v>
      </c>
      <c r="Q8" s="419" t="s">
        <v>1437</v>
      </c>
      <c r="S8" s="414" t="s">
        <v>434</v>
      </c>
      <c r="T8" s="419" t="s">
        <v>432</v>
      </c>
      <c r="V8" s="414" t="s">
        <v>1485</v>
      </c>
      <c r="W8" s="419" t="s">
        <v>1486</v>
      </c>
      <c r="Y8" s="414" t="s">
        <v>1530</v>
      </c>
      <c r="Z8" s="415" t="s">
        <v>1053</v>
      </c>
      <c r="AA8" s="419" t="s">
        <v>391</v>
      </c>
    </row>
    <row r="9" spans="1:27" x14ac:dyDescent="0.25">
      <c r="A9" s="414" t="s">
        <v>1246</v>
      </c>
      <c r="B9" s="415" t="s">
        <v>1245</v>
      </c>
      <c r="C9" s="415">
        <v>45</v>
      </c>
      <c r="D9" s="416">
        <v>27800</v>
      </c>
      <c r="E9" s="417">
        <v>65000</v>
      </c>
      <c r="G9" s="414" t="s">
        <v>1283</v>
      </c>
      <c r="H9" s="415" t="s">
        <v>1284</v>
      </c>
      <c r="I9" s="415" t="s">
        <v>1285</v>
      </c>
      <c r="J9" s="418">
        <v>2833.22</v>
      </c>
      <c r="L9" s="414" t="s">
        <v>1411</v>
      </c>
      <c r="M9" s="415" t="s">
        <v>1412</v>
      </c>
      <c r="N9" s="419" t="s">
        <v>236</v>
      </c>
      <c r="P9" s="414" t="s">
        <v>1453</v>
      </c>
      <c r="Q9" s="419" t="s">
        <v>1438</v>
      </c>
      <c r="S9" s="414" t="s">
        <v>446</v>
      </c>
      <c r="T9" s="419" t="s">
        <v>444</v>
      </c>
      <c r="V9" s="414" t="s">
        <v>1487</v>
      </c>
      <c r="W9" s="419" t="s">
        <v>1488</v>
      </c>
      <c r="Y9" s="414" t="s">
        <v>1531</v>
      </c>
      <c r="Z9" s="415" t="s">
        <v>1049</v>
      </c>
      <c r="AA9" s="419" t="s">
        <v>767</v>
      </c>
    </row>
    <row r="10" spans="1:27" x14ac:dyDescent="0.25">
      <c r="A10" s="414" t="s">
        <v>1244</v>
      </c>
      <c r="B10" s="415" t="s">
        <v>1243</v>
      </c>
      <c r="C10" s="415">
        <v>15</v>
      </c>
      <c r="D10" s="416">
        <v>21300</v>
      </c>
      <c r="E10" s="417">
        <v>45000</v>
      </c>
      <c r="G10" s="414" t="s">
        <v>1286</v>
      </c>
      <c r="H10" s="415" t="s">
        <v>1287</v>
      </c>
      <c r="I10" s="415" t="s">
        <v>1288</v>
      </c>
      <c r="J10" s="418">
        <v>2833.25</v>
      </c>
      <c r="L10" s="414" t="s">
        <v>1389</v>
      </c>
      <c r="M10" s="415" t="s">
        <v>1390</v>
      </c>
      <c r="N10" s="419" t="s">
        <v>266</v>
      </c>
      <c r="P10" s="414" t="s">
        <v>1454</v>
      </c>
      <c r="Q10" s="419" t="s">
        <v>1439</v>
      </c>
      <c r="S10" s="414" t="s">
        <v>449</v>
      </c>
      <c r="T10" s="419" t="s">
        <v>447</v>
      </c>
      <c r="V10" s="414" t="s">
        <v>1489</v>
      </c>
      <c r="W10" s="419" t="s">
        <v>1490</v>
      </c>
      <c r="Y10" s="414" t="s">
        <v>1532</v>
      </c>
      <c r="Z10" s="415" t="s">
        <v>1055</v>
      </c>
      <c r="AA10" s="419" t="s">
        <v>762</v>
      </c>
    </row>
    <row r="11" spans="1:27" x14ac:dyDescent="0.25">
      <c r="A11" s="414" t="s">
        <v>1242</v>
      </c>
      <c r="B11" s="415" t="s">
        <v>1241</v>
      </c>
      <c r="C11" s="415">
        <v>30</v>
      </c>
      <c r="D11" s="416">
        <v>58600</v>
      </c>
      <c r="E11" s="417">
        <v>90000</v>
      </c>
      <c r="G11" s="414" t="s">
        <v>1289</v>
      </c>
      <c r="H11" s="415" t="s">
        <v>1290</v>
      </c>
      <c r="I11" s="415" t="s">
        <v>1291</v>
      </c>
      <c r="J11" s="418">
        <v>2833.26</v>
      </c>
      <c r="L11" s="414" t="s">
        <v>1396</v>
      </c>
      <c r="M11" s="415" t="s">
        <v>1397</v>
      </c>
      <c r="N11" s="419" t="s">
        <v>281</v>
      </c>
      <c r="P11" s="414" t="s">
        <v>1455</v>
      </c>
      <c r="Q11" s="419" t="s">
        <v>1440</v>
      </c>
      <c r="S11" s="414" t="s">
        <v>473</v>
      </c>
      <c r="T11" s="419" t="s">
        <v>1466</v>
      </c>
      <c r="V11" s="414" t="s">
        <v>1491</v>
      </c>
      <c r="W11" s="419" t="s">
        <v>1492</v>
      </c>
      <c r="Y11" s="414" t="s">
        <v>1533</v>
      </c>
      <c r="Z11" s="415" t="s">
        <v>1397</v>
      </c>
      <c r="AA11" s="419" t="s">
        <v>965</v>
      </c>
    </row>
    <row r="12" spans="1:27" x14ac:dyDescent="0.25">
      <c r="A12" s="414" t="s">
        <v>1240</v>
      </c>
      <c r="B12" s="415" t="s">
        <v>1239</v>
      </c>
      <c r="C12" s="415">
        <v>30</v>
      </c>
      <c r="D12" s="416">
        <v>47900</v>
      </c>
      <c r="E12" s="417">
        <v>70000</v>
      </c>
      <c r="G12" s="414" t="s">
        <v>1292</v>
      </c>
      <c r="H12" s="415" t="s">
        <v>1293</v>
      </c>
      <c r="I12" s="415" t="s">
        <v>1294</v>
      </c>
      <c r="J12" s="418" t="s">
        <v>1340</v>
      </c>
      <c r="L12" s="414" t="s">
        <v>1365</v>
      </c>
      <c r="M12" s="415" t="s">
        <v>1366</v>
      </c>
      <c r="N12" s="419" t="s">
        <v>389</v>
      </c>
      <c r="P12" s="414" t="s">
        <v>1456</v>
      </c>
      <c r="Q12" s="419" t="s">
        <v>1441</v>
      </c>
      <c r="S12" s="414" t="s">
        <v>503</v>
      </c>
      <c r="T12" s="419" t="s">
        <v>315</v>
      </c>
      <c r="V12" s="414" t="s">
        <v>1493</v>
      </c>
      <c r="W12" s="419" t="s">
        <v>1494</v>
      </c>
      <c r="Y12" s="414" t="s">
        <v>1534</v>
      </c>
      <c r="Z12" s="415" t="s">
        <v>1535</v>
      </c>
      <c r="AA12" s="419" t="s">
        <v>660</v>
      </c>
    </row>
    <row r="13" spans="1:27" x14ac:dyDescent="0.25">
      <c r="A13" s="414" t="s">
        <v>1238</v>
      </c>
      <c r="B13" s="415" t="s">
        <v>1237</v>
      </c>
      <c r="C13" s="415">
        <v>15</v>
      </c>
      <c r="D13" s="416">
        <v>19800</v>
      </c>
      <c r="E13" s="417">
        <v>30000</v>
      </c>
      <c r="G13" s="414" t="s">
        <v>1295</v>
      </c>
      <c r="H13" s="415" t="s">
        <v>1050</v>
      </c>
      <c r="I13" s="415" t="s">
        <v>1296</v>
      </c>
      <c r="J13" s="418" t="s">
        <v>1341</v>
      </c>
      <c r="L13" s="414" t="s">
        <v>1356</v>
      </c>
      <c r="M13" s="415" t="s">
        <v>1357</v>
      </c>
      <c r="N13" s="419" t="s">
        <v>417</v>
      </c>
      <c r="P13" s="414" t="s">
        <v>1457</v>
      </c>
      <c r="Q13" s="419" t="s">
        <v>1442</v>
      </c>
      <c r="S13" s="414" t="s">
        <v>509</v>
      </c>
      <c r="T13" s="419" t="s">
        <v>507</v>
      </c>
      <c r="V13" s="414" t="s">
        <v>1495</v>
      </c>
      <c r="W13" s="419" t="s">
        <v>1496</v>
      </c>
      <c r="Y13" s="414" t="s">
        <v>1536</v>
      </c>
      <c r="Z13" s="415" t="s">
        <v>1537</v>
      </c>
      <c r="AA13" s="419" t="s">
        <v>861</v>
      </c>
    </row>
    <row r="14" spans="1:27" x14ac:dyDescent="0.25">
      <c r="A14" s="414" t="s">
        <v>1236</v>
      </c>
      <c r="B14" s="415" t="s">
        <v>1235</v>
      </c>
      <c r="C14" s="415">
        <v>60</v>
      </c>
      <c r="D14" s="416">
        <v>64500</v>
      </c>
      <c r="E14" s="417">
        <v>90000</v>
      </c>
      <c r="G14" s="414" t="s">
        <v>1297</v>
      </c>
      <c r="H14" s="415" t="s">
        <v>1298</v>
      </c>
      <c r="I14" s="415" t="s">
        <v>1299</v>
      </c>
      <c r="J14" s="418">
        <v>2811.22</v>
      </c>
      <c r="L14" s="414" t="s">
        <v>1409</v>
      </c>
      <c r="M14" s="415" t="s">
        <v>1410</v>
      </c>
      <c r="N14" s="419" t="s">
        <v>236</v>
      </c>
      <c r="P14" s="414" t="s">
        <v>1458</v>
      </c>
      <c r="Q14" s="419" t="s">
        <v>1443</v>
      </c>
      <c r="S14" s="414" t="s">
        <v>542</v>
      </c>
      <c r="T14" s="419" t="s">
        <v>540</v>
      </c>
      <c r="V14" s="414" t="s">
        <v>1497</v>
      </c>
      <c r="W14" s="419" t="s">
        <v>1498</v>
      </c>
      <c r="Y14" s="414" t="s">
        <v>1538</v>
      </c>
      <c r="Z14" s="415" t="s">
        <v>1539</v>
      </c>
      <c r="AA14" s="419" t="s">
        <v>1000</v>
      </c>
    </row>
    <row r="15" spans="1:27" x14ac:dyDescent="0.25">
      <c r="A15" s="414" t="s">
        <v>1234</v>
      </c>
      <c r="B15" s="415" t="s">
        <v>1233</v>
      </c>
      <c r="C15" s="415">
        <v>45</v>
      </c>
      <c r="D15" s="416">
        <v>32100</v>
      </c>
      <c r="E15" s="417">
        <v>50000</v>
      </c>
      <c r="G15" s="414" t="s">
        <v>1300</v>
      </c>
      <c r="H15" s="415" t="s">
        <v>1301</v>
      </c>
      <c r="I15" s="415" t="s">
        <v>1302</v>
      </c>
      <c r="J15" s="418">
        <v>3204.13</v>
      </c>
      <c r="L15" s="414" t="s">
        <v>1413</v>
      </c>
      <c r="M15" s="415" t="s">
        <v>303</v>
      </c>
      <c r="N15" s="419" t="s">
        <v>236</v>
      </c>
      <c r="P15" s="414" t="s">
        <v>1459</v>
      </c>
      <c r="Q15" s="419" t="s">
        <v>1444</v>
      </c>
      <c r="S15" s="414" t="s">
        <v>563</v>
      </c>
      <c r="T15" s="419" t="s">
        <v>561</v>
      </c>
      <c r="V15" s="414" t="s">
        <v>1499</v>
      </c>
      <c r="W15" s="419" t="s">
        <v>1500</v>
      </c>
      <c r="Y15" s="414" t="s">
        <v>1540</v>
      </c>
      <c r="Z15" s="415" t="s">
        <v>1347</v>
      </c>
      <c r="AA15" s="419" t="s">
        <v>1044</v>
      </c>
    </row>
    <row r="16" spans="1:27" x14ac:dyDescent="0.25">
      <c r="A16" s="414" t="s">
        <v>1232</v>
      </c>
      <c r="B16" s="415" t="s">
        <v>1231</v>
      </c>
      <c r="C16" s="415">
        <v>30</v>
      </c>
      <c r="D16" s="416">
        <v>23700</v>
      </c>
      <c r="E16" s="417">
        <v>60000</v>
      </c>
      <c r="G16" s="414" t="s">
        <v>1303</v>
      </c>
      <c r="H16" s="415" t="s">
        <v>1304</v>
      </c>
      <c r="I16" s="415" t="s">
        <v>1305</v>
      </c>
      <c r="J16" s="418" t="s">
        <v>1336</v>
      </c>
      <c r="L16" s="414" t="s">
        <v>1346</v>
      </c>
      <c r="M16" s="415" t="s">
        <v>1347</v>
      </c>
      <c r="N16" s="419" t="s">
        <v>266</v>
      </c>
      <c r="P16" s="414" t="s">
        <v>1460</v>
      </c>
      <c r="Q16" s="419" t="s">
        <v>1445</v>
      </c>
      <c r="S16" s="414" t="s">
        <v>566</v>
      </c>
      <c r="T16" s="419" t="s">
        <v>564</v>
      </c>
      <c r="V16" s="414" t="s">
        <v>1501</v>
      </c>
      <c r="W16" s="419" t="s">
        <v>1502</v>
      </c>
      <c r="Y16" s="414" t="s">
        <v>1526</v>
      </c>
      <c r="Z16" s="415" t="s">
        <v>369</v>
      </c>
      <c r="AA16" s="419" t="s">
        <v>1044</v>
      </c>
    </row>
    <row r="17" spans="1:27" x14ac:dyDescent="0.25">
      <c r="A17" s="414" t="s">
        <v>1230</v>
      </c>
      <c r="B17" s="415" t="s">
        <v>1229</v>
      </c>
      <c r="C17" s="415">
        <v>15</v>
      </c>
      <c r="D17" s="416">
        <v>12600</v>
      </c>
      <c r="E17" s="417">
        <v>25000</v>
      </c>
      <c r="G17" s="414" t="s">
        <v>1306</v>
      </c>
      <c r="H17" s="415" t="s">
        <v>1307</v>
      </c>
      <c r="I17" s="415" t="s">
        <v>1308</v>
      </c>
      <c r="J17" s="418">
        <v>2832.22</v>
      </c>
      <c r="L17" s="414" t="s">
        <v>1398</v>
      </c>
      <c r="M17" s="415" t="s">
        <v>1399</v>
      </c>
      <c r="N17" s="419" t="s">
        <v>266</v>
      </c>
      <c r="P17" s="420" t="s">
        <v>1461</v>
      </c>
      <c r="Q17" s="423" t="s">
        <v>1446</v>
      </c>
      <c r="S17" s="414" t="s">
        <v>621</v>
      </c>
      <c r="T17" s="419" t="s">
        <v>619</v>
      </c>
      <c r="V17" s="414" t="s">
        <v>1503</v>
      </c>
      <c r="W17" s="419" t="s">
        <v>1504</v>
      </c>
      <c r="Y17" s="414" t="s">
        <v>1541</v>
      </c>
      <c r="Z17" s="415" t="s">
        <v>1542</v>
      </c>
      <c r="AA17" s="419" t="s">
        <v>391</v>
      </c>
    </row>
    <row r="18" spans="1:27" x14ac:dyDescent="0.25">
      <c r="A18" s="414" t="s">
        <v>1228</v>
      </c>
      <c r="B18" s="415" t="s">
        <v>1227</v>
      </c>
      <c r="C18" s="415">
        <v>60</v>
      </c>
      <c r="D18" s="416">
        <v>55900</v>
      </c>
      <c r="E18" s="417">
        <v>80000</v>
      </c>
      <c r="G18" s="414" t="s">
        <v>1309</v>
      </c>
      <c r="H18" s="415" t="s">
        <v>1310</v>
      </c>
      <c r="I18" s="415" t="s">
        <v>1311</v>
      </c>
      <c r="J18" s="418" t="s">
        <v>1340</v>
      </c>
      <c r="L18" s="414" t="s">
        <v>1359</v>
      </c>
      <c r="M18" s="415" t="s">
        <v>1360</v>
      </c>
      <c r="N18" s="419" t="s">
        <v>266</v>
      </c>
      <c r="S18" s="414" t="s">
        <v>624</v>
      </c>
      <c r="T18" s="419" t="s">
        <v>622</v>
      </c>
      <c r="V18" s="414" t="s">
        <v>1505</v>
      </c>
      <c r="W18" s="419" t="s">
        <v>1506</v>
      </c>
      <c r="Y18" s="414" t="s">
        <v>1526</v>
      </c>
      <c r="Z18" s="415" t="s">
        <v>369</v>
      </c>
      <c r="AA18" s="419" t="s">
        <v>1044</v>
      </c>
    </row>
    <row r="19" spans="1:27" x14ac:dyDescent="0.25">
      <c r="A19" s="414" t="s">
        <v>1226</v>
      </c>
      <c r="B19" s="415" t="s">
        <v>1225</v>
      </c>
      <c r="C19" s="415">
        <v>45</v>
      </c>
      <c r="D19" s="416">
        <v>9200</v>
      </c>
      <c r="E19" s="417">
        <v>35000</v>
      </c>
      <c r="G19" s="414" t="s">
        <v>1312</v>
      </c>
      <c r="H19" s="415" t="s">
        <v>1313</v>
      </c>
      <c r="I19" s="415" t="s">
        <v>1314</v>
      </c>
      <c r="J19" s="418" t="s">
        <v>1342</v>
      </c>
      <c r="L19" s="414" t="s">
        <v>1351</v>
      </c>
      <c r="M19" s="415" t="s">
        <v>358</v>
      </c>
      <c r="N19" s="419" t="s">
        <v>1352</v>
      </c>
      <c r="S19" s="414" t="s">
        <v>627</v>
      </c>
      <c r="T19" s="419" t="s">
        <v>1469</v>
      </c>
      <c r="V19" s="414" t="s">
        <v>1507</v>
      </c>
      <c r="W19" s="419" t="s">
        <v>1508</v>
      </c>
      <c r="Y19" s="414" t="s">
        <v>1543</v>
      </c>
      <c r="Z19" s="415" t="s">
        <v>358</v>
      </c>
      <c r="AA19" s="419" t="s">
        <v>503</v>
      </c>
    </row>
    <row r="20" spans="1:27" x14ac:dyDescent="0.25">
      <c r="A20" s="414" t="s">
        <v>1224</v>
      </c>
      <c r="B20" s="415" t="s">
        <v>1223</v>
      </c>
      <c r="C20" s="415">
        <v>30</v>
      </c>
      <c r="D20" s="416">
        <v>68700</v>
      </c>
      <c r="E20" s="417">
        <v>100000</v>
      </c>
      <c r="G20" s="414" t="s">
        <v>1315</v>
      </c>
      <c r="H20" s="415" t="s">
        <v>1316</v>
      </c>
      <c r="I20" s="415" t="s">
        <v>1317</v>
      </c>
      <c r="J20" s="418">
        <v>2833.21</v>
      </c>
      <c r="L20" s="414" t="s">
        <v>1426</v>
      </c>
      <c r="M20" s="415" t="s">
        <v>1427</v>
      </c>
      <c r="N20" s="419" t="s">
        <v>417</v>
      </c>
      <c r="S20" s="414" t="s">
        <v>642</v>
      </c>
      <c r="T20" s="419" t="s">
        <v>640</v>
      </c>
      <c r="V20" s="414" t="s">
        <v>1509</v>
      </c>
      <c r="W20" s="419" t="s">
        <v>1510</v>
      </c>
      <c r="Y20" s="414" t="s">
        <v>1544</v>
      </c>
      <c r="Z20" s="415" t="s">
        <v>1545</v>
      </c>
      <c r="AA20" s="419" t="s">
        <v>503</v>
      </c>
    </row>
    <row r="21" spans="1:27" x14ac:dyDescent="0.25">
      <c r="A21" s="414" t="s">
        <v>1222</v>
      </c>
      <c r="B21" s="415" t="s">
        <v>1221</v>
      </c>
      <c r="C21" s="415">
        <v>15</v>
      </c>
      <c r="D21" s="416">
        <v>7500</v>
      </c>
      <c r="E21" s="417">
        <v>20000</v>
      </c>
      <c r="G21" s="414" t="s">
        <v>1318</v>
      </c>
      <c r="H21" s="415" t="s">
        <v>1319</v>
      </c>
      <c r="I21" s="415" t="s">
        <v>1320</v>
      </c>
      <c r="J21" s="418" t="s">
        <v>1343</v>
      </c>
      <c r="L21" s="414" t="s">
        <v>1381</v>
      </c>
      <c r="M21" s="415" t="s">
        <v>1382</v>
      </c>
      <c r="N21" s="419" t="s">
        <v>258</v>
      </c>
      <c r="S21" s="414" t="s">
        <v>648</v>
      </c>
      <c r="T21" s="419" t="s">
        <v>646</v>
      </c>
      <c r="V21" s="414" t="s">
        <v>1511</v>
      </c>
      <c r="W21" s="419" t="s">
        <v>1512</v>
      </c>
      <c r="Y21" s="414" t="s">
        <v>1546</v>
      </c>
      <c r="Z21" s="415" t="s">
        <v>1547</v>
      </c>
      <c r="AA21" s="419" t="s">
        <v>791</v>
      </c>
    </row>
    <row r="22" spans="1:27" x14ac:dyDescent="0.25">
      <c r="A22" s="414" t="s">
        <v>1220</v>
      </c>
      <c r="B22" s="415" t="s">
        <v>1219</v>
      </c>
      <c r="C22" s="415">
        <v>45</v>
      </c>
      <c r="D22" s="416">
        <v>44300</v>
      </c>
      <c r="E22" s="417">
        <v>70000</v>
      </c>
      <c r="G22" s="414" t="s">
        <v>1321</v>
      </c>
      <c r="H22" s="415" t="s">
        <v>1322</v>
      </c>
      <c r="I22" s="415" t="s">
        <v>1323</v>
      </c>
      <c r="J22" s="418" t="s">
        <v>1336</v>
      </c>
      <c r="L22" s="414" t="s">
        <v>1373</v>
      </c>
      <c r="M22" s="415" t="s">
        <v>331</v>
      </c>
      <c r="N22" s="419" t="s">
        <v>266</v>
      </c>
      <c r="S22" s="414" t="s">
        <v>672</v>
      </c>
      <c r="T22" s="419" t="s">
        <v>670</v>
      </c>
      <c r="V22" s="414" t="s">
        <v>1513</v>
      </c>
      <c r="W22" s="419" t="s">
        <v>1514</v>
      </c>
      <c r="Y22" s="414" t="s">
        <v>1548</v>
      </c>
      <c r="Z22" s="415" t="s">
        <v>1549</v>
      </c>
      <c r="AA22" s="419" t="s">
        <v>566</v>
      </c>
    </row>
    <row r="23" spans="1:27" x14ac:dyDescent="0.25">
      <c r="A23" s="414" t="s">
        <v>1218</v>
      </c>
      <c r="B23" s="415" t="s">
        <v>1217</v>
      </c>
      <c r="C23" s="415">
        <v>30</v>
      </c>
      <c r="D23" s="416">
        <v>11200</v>
      </c>
      <c r="E23" s="417">
        <v>25000</v>
      </c>
      <c r="G23" s="414" t="s">
        <v>1324</v>
      </c>
      <c r="H23" s="415" t="s">
        <v>1325</v>
      </c>
      <c r="I23" s="415" t="s">
        <v>1326</v>
      </c>
      <c r="J23" s="418" t="s">
        <v>1342</v>
      </c>
      <c r="L23" s="414" t="s">
        <v>1386</v>
      </c>
      <c r="M23" s="415" t="s">
        <v>25</v>
      </c>
      <c r="N23" s="419" t="s">
        <v>1352</v>
      </c>
      <c r="S23" s="414" t="s">
        <v>711</v>
      </c>
      <c r="T23" s="419" t="s">
        <v>709</v>
      </c>
      <c r="V23" s="414" t="s">
        <v>1515</v>
      </c>
      <c r="W23" s="419" t="s">
        <v>1516</v>
      </c>
      <c r="Y23" s="414" t="s">
        <v>1550</v>
      </c>
      <c r="Z23" s="415" t="s">
        <v>1551</v>
      </c>
      <c r="AA23" s="419" t="s">
        <v>897</v>
      </c>
    </row>
    <row r="24" spans="1:27" x14ac:dyDescent="0.25">
      <c r="A24" s="414" t="s">
        <v>1216</v>
      </c>
      <c r="B24" s="415" t="s">
        <v>1215</v>
      </c>
      <c r="C24" s="415">
        <v>60</v>
      </c>
      <c r="D24" s="416">
        <v>39800</v>
      </c>
      <c r="E24" s="417">
        <v>55000</v>
      </c>
      <c r="G24" s="414" t="s">
        <v>1327</v>
      </c>
      <c r="H24" s="415" t="s">
        <v>1328</v>
      </c>
      <c r="I24" s="415" t="s">
        <v>1329</v>
      </c>
      <c r="J24" s="418" t="s">
        <v>1340</v>
      </c>
      <c r="L24" s="414" t="s">
        <v>1418</v>
      </c>
      <c r="M24" s="415" t="s">
        <v>338</v>
      </c>
      <c r="N24" s="419" t="s">
        <v>1352</v>
      </c>
      <c r="S24" s="414" t="s">
        <v>714</v>
      </c>
      <c r="T24" s="419" t="s">
        <v>712</v>
      </c>
      <c r="V24" s="414" t="s">
        <v>1517</v>
      </c>
      <c r="W24" s="419" t="s">
        <v>1518</v>
      </c>
      <c r="Y24" s="414" t="s">
        <v>1552</v>
      </c>
      <c r="Z24" s="415" t="s">
        <v>1553</v>
      </c>
      <c r="AA24" s="419" t="s">
        <v>473</v>
      </c>
    </row>
    <row r="25" spans="1:27" x14ac:dyDescent="0.25">
      <c r="A25" s="414" t="s">
        <v>1214</v>
      </c>
      <c r="B25" s="415" t="s">
        <v>1213</v>
      </c>
      <c r="C25" s="415">
        <v>15</v>
      </c>
      <c r="D25" s="416">
        <v>6500</v>
      </c>
      <c r="E25" s="417">
        <v>15000</v>
      </c>
      <c r="G25" s="414" t="s">
        <v>1330</v>
      </c>
      <c r="H25" s="415" t="s">
        <v>1331</v>
      </c>
      <c r="I25" s="415" t="s">
        <v>1332</v>
      </c>
      <c r="J25" s="418" t="s">
        <v>1343</v>
      </c>
      <c r="L25" s="414" t="s">
        <v>1361</v>
      </c>
      <c r="M25" s="415" t="s">
        <v>1362</v>
      </c>
      <c r="N25" s="419" t="s">
        <v>709</v>
      </c>
      <c r="S25" s="414" t="s">
        <v>740</v>
      </c>
      <c r="T25" s="419" t="s">
        <v>738</v>
      </c>
      <c r="V25" s="414" t="s">
        <v>1519</v>
      </c>
      <c r="W25" s="419" t="s">
        <v>1520</v>
      </c>
      <c r="Y25" s="414" t="s">
        <v>1554</v>
      </c>
      <c r="Z25" s="415" t="s">
        <v>1555</v>
      </c>
      <c r="AA25" s="419" t="s">
        <v>509</v>
      </c>
    </row>
    <row r="26" spans="1:27" x14ac:dyDescent="0.25">
      <c r="A26" s="414" t="s">
        <v>1212</v>
      </c>
      <c r="B26" s="415" t="s">
        <v>1211</v>
      </c>
      <c r="C26" s="415">
        <v>30</v>
      </c>
      <c r="D26" s="416">
        <v>23900</v>
      </c>
      <c r="E26" s="417">
        <v>50000</v>
      </c>
      <c r="G26" s="420" t="s">
        <v>1333</v>
      </c>
      <c r="H26" s="421" t="s">
        <v>1334</v>
      </c>
      <c r="I26" s="421" t="s">
        <v>1335</v>
      </c>
      <c r="J26" s="422">
        <v>2811.29</v>
      </c>
      <c r="L26" s="414" t="s">
        <v>1416</v>
      </c>
      <c r="M26" s="415" t="s">
        <v>1417</v>
      </c>
      <c r="N26" s="419" t="s">
        <v>293</v>
      </c>
      <c r="S26" s="414" t="s">
        <v>760</v>
      </c>
      <c r="T26" s="419" t="s">
        <v>758</v>
      </c>
      <c r="V26" s="420" t="s">
        <v>1521</v>
      </c>
      <c r="W26" s="423" t="s">
        <v>1522</v>
      </c>
      <c r="Y26" s="414" t="s">
        <v>986</v>
      </c>
      <c r="Z26" s="415" t="s">
        <v>1556</v>
      </c>
      <c r="AA26" s="419" t="s">
        <v>986</v>
      </c>
    </row>
    <row r="27" spans="1:27" x14ac:dyDescent="0.25">
      <c r="A27" s="414" t="s">
        <v>1210</v>
      </c>
      <c r="B27" s="415" t="s">
        <v>1209</v>
      </c>
      <c r="C27" s="415">
        <v>45</v>
      </c>
      <c r="D27" s="416">
        <v>31400</v>
      </c>
      <c r="E27" s="417">
        <v>65000</v>
      </c>
      <c r="L27" s="414" t="s">
        <v>1402</v>
      </c>
      <c r="M27" s="415" t="s">
        <v>350</v>
      </c>
      <c r="N27" s="419" t="s">
        <v>293</v>
      </c>
      <c r="S27" s="414" t="s">
        <v>762</v>
      </c>
      <c r="T27" s="419" t="s">
        <v>247</v>
      </c>
      <c r="Y27" s="420" t="s">
        <v>1557</v>
      </c>
      <c r="Z27" s="421" t="s">
        <v>25</v>
      </c>
      <c r="AA27" s="423" t="s">
        <v>503</v>
      </c>
    </row>
    <row r="28" spans="1:27" x14ac:dyDescent="0.25">
      <c r="A28" s="414" t="s">
        <v>1208</v>
      </c>
      <c r="B28" s="415" t="s">
        <v>1207</v>
      </c>
      <c r="C28" s="415">
        <v>60</v>
      </c>
      <c r="D28" s="416">
        <v>75200</v>
      </c>
      <c r="E28" s="417">
        <v>120000</v>
      </c>
      <c r="L28" s="414" t="s">
        <v>1385</v>
      </c>
      <c r="M28" s="415" t="s">
        <v>369</v>
      </c>
      <c r="N28" s="419" t="s">
        <v>266</v>
      </c>
      <c r="S28" s="414" t="s">
        <v>767</v>
      </c>
      <c r="T28" s="419" t="s">
        <v>417</v>
      </c>
    </row>
    <row r="29" spans="1:27" x14ac:dyDescent="0.25">
      <c r="A29" s="414" t="s">
        <v>1206</v>
      </c>
      <c r="B29" s="415" t="s">
        <v>1205</v>
      </c>
      <c r="C29" s="415">
        <v>15</v>
      </c>
      <c r="D29" s="416">
        <v>8900</v>
      </c>
      <c r="E29" s="417">
        <v>20000</v>
      </c>
      <c r="L29" s="414" t="s">
        <v>1353</v>
      </c>
      <c r="M29" s="415" t="s">
        <v>1055</v>
      </c>
      <c r="N29" s="419" t="s">
        <v>247</v>
      </c>
      <c r="S29" s="414" t="s">
        <v>776</v>
      </c>
      <c r="T29" s="419" t="s">
        <v>774</v>
      </c>
    </row>
    <row r="30" spans="1:27" x14ac:dyDescent="0.25">
      <c r="A30" s="414" t="s">
        <v>1204</v>
      </c>
      <c r="B30" s="415" t="s">
        <v>1203</v>
      </c>
      <c r="C30" s="415">
        <v>45</v>
      </c>
      <c r="D30" s="416">
        <v>19600</v>
      </c>
      <c r="E30" s="417">
        <v>35000</v>
      </c>
      <c r="L30" s="414" t="s">
        <v>1400</v>
      </c>
      <c r="M30" s="415" t="s">
        <v>1401</v>
      </c>
      <c r="N30" s="419" t="s">
        <v>281</v>
      </c>
      <c r="S30" s="414" t="s">
        <v>782</v>
      </c>
      <c r="T30" s="419" t="s">
        <v>780</v>
      </c>
    </row>
    <row r="31" spans="1:27" x14ac:dyDescent="0.25">
      <c r="A31" s="414" t="s">
        <v>1202</v>
      </c>
      <c r="B31" s="415" t="s">
        <v>1201</v>
      </c>
      <c r="C31" s="415">
        <v>30</v>
      </c>
      <c r="D31" s="416">
        <v>48700</v>
      </c>
      <c r="E31" s="417">
        <v>80000</v>
      </c>
      <c r="L31" s="414" t="s">
        <v>1394</v>
      </c>
      <c r="M31" s="415" t="s">
        <v>1395</v>
      </c>
      <c r="N31" s="419" t="s">
        <v>281</v>
      </c>
      <c r="S31" s="414" t="s">
        <v>791</v>
      </c>
      <c r="T31" s="419" t="s">
        <v>789</v>
      </c>
    </row>
    <row r="32" spans="1:27" x14ac:dyDescent="0.25">
      <c r="A32" s="414" t="s">
        <v>1200</v>
      </c>
      <c r="B32" s="415" t="s">
        <v>1199</v>
      </c>
      <c r="C32" s="415">
        <v>60</v>
      </c>
      <c r="D32" s="416">
        <v>61300</v>
      </c>
      <c r="E32" s="417">
        <v>95000</v>
      </c>
      <c r="L32" s="414" t="s">
        <v>1364</v>
      </c>
      <c r="M32" s="415" t="s">
        <v>380</v>
      </c>
      <c r="N32" s="419" t="s">
        <v>266</v>
      </c>
      <c r="S32" s="414" t="s">
        <v>809</v>
      </c>
      <c r="T32" s="419" t="s">
        <v>807</v>
      </c>
    </row>
    <row r="33" spans="1:20" x14ac:dyDescent="0.25">
      <c r="A33" s="414" t="s">
        <v>1198</v>
      </c>
      <c r="B33" s="415" t="s">
        <v>1197</v>
      </c>
      <c r="C33" s="415">
        <v>15</v>
      </c>
      <c r="D33" s="416">
        <v>17500</v>
      </c>
      <c r="E33" s="417">
        <v>30000</v>
      </c>
      <c r="L33" s="414" t="s">
        <v>1345</v>
      </c>
      <c r="M33" s="415" t="s">
        <v>271</v>
      </c>
      <c r="N33" s="419" t="s">
        <v>266</v>
      </c>
      <c r="S33" s="414" t="s">
        <v>813</v>
      </c>
      <c r="T33" s="419" t="s">
        <v>811</v>
      </c>
    </row>
    <row r="34" spans="1:20" x14ac:dyDescent="0.25">
      <c r="A34" s="414" t="s">
        <v>1196</v>
      </c>
      <c r="B34" s="415" t="s">
        <v>1195</v>
      </c>
      <c r="C34" s="415">
        <v>45</v>
      </c>
      <c r="D34" s="416">
        <v>34400</v>
      </c>
      <c r="E34" s="417">
        <v>60000</v>
      </c>
      <c r="L34" s="414" t="s">
        <v>1376</v>
      </c>
      <c r="M34" s="415" t="s">
        <v>1377</v>
      </c>
      <c r="N34" s="419" t="s">
        <v>258</v>
      </c>
      <c r="S34" s="414" t="s">
        <v>840</v>
      </c>
      <c r="T34" s="419" t="s">
        <v>838</v>
      </c>
    </row>
    <row r="35" spans="1:20" x14ac:dyDescent="0.25">
      <c r="A35" s="414" t="s">
        <v>1194</v>
      </c>
      <c r="B35" s="415" t="s">
        <v>1193</v>
      </c>
      <c r="C35" s="415">
        <v>30</v>
      </c>
      <c r="D35" s="416">
        <v>56800</v>
      </c>
      <c r="E35" s="417">
        <v>90000</v>
      </c>
      <c r="L35" s="414" t="s">
        <v>1405</v>
      </c>
      <c r="M35" s="415" t="s">
        <v>1406</v>
      </c>
      <c r="N35" s="419" t="s">
        <v>236</v>
      </c>
      <c r="S35" s="414" t="s">
        <v>843</v>
      </c>
      <c r="T35" s="419" t="s">
        <v>841</v>
      </c>
    </row>
    <row r="36" spans="1:20" x14ac:dyDescent="0.25">
      <c r="A36" s="414" t="s">
        <v>1192</v>
      </c>
      <c r="B36" s="415" t="s">
        <v>1191</v>
      </c>
      <c r="C36" s="415">
        <v>60</v>
      </c>
      <c r="D36" s="416">
        <v>23700</v>
      </c>
      <c r="E36" s="417">
        <v>45000</v>
      </c>
      <c r="L36" s="414" t="s">
        <v>1349</v>
      </c>
      <c r="M36" s="415" t="s">
        <v>1350</v>
      </c>
      <c r="N36" s="419" t="s">
        <v>709</v>
      </c>
      <c r="S36" s="414" t="s">
        <v>849</v>
      </c>
      <c r="T36" s="419" t="s">
        <v>847</v>
      </c>
    </row>
    <row r="37" spans="1:20" x14ac:dyDescent="0.25">
      <c r="A37" s="414" t="s">
        <v>1190</v>
      </c>
      <c r="B37" s="415" t="s">
        <v>1189</v>
      </c>
      <c r="C37" s="415">
        <v>30</v>
      </c>
      <c r="D37" s="416">
        <v>13200</v>
      </c>
      <c r="E37" s="417">
        <v>25000</v>
      </c>
      <c r="L37" s="414" t="s">
        <v>1392</v>
      </c>
      <c r="M37" s="415" t="s">
        <v>1393</v>
      </c>
      <c r="N37" s="419" t="s">
        <v>247</v>
      </c>
      <c r="S37" s="414" t="s">
        <v>858</v>
      </c>
      <c r="T37" s="419" t="s">
        <v>1470</v>
      </c>
    </row>
    <row r="38" spans="1:20" x14ac:dyDescent="0.25">
      <c r="A38" s="414" t="s">
        <v>1188</v>
      </c>
      <c r="B38" s="415" t="s">
        <v>1187</v>
      </c>
      <c r="C38" s="415">
        <v>45</v>
      </c>
      <c r="D38" s="416">
        <v>28600</v>
      </c>
      <c r="E38" s="417">
        <v>55000</v>
      </c>
      <c r="L38" s="414" t="s">
        <v>1363</v>
      </c>
      <c r="M38" s="415" t="s">
        <v>392</v>
      </c>
      <c r="N38" s="419" t="s">
        <v>266</v>
      </c>
      <c r="S38" s="414" t="s">
        <v>894</v>
      </c>
      <c r="T38" s="419" t="s">
        <v>892</v>
      </c>
    </row>
    <row r="39" spans="1:20" x14ac:dyDescent="0.25">
      <c r="A39" s="414" t="s">
        <v>1186</v>
      </c>
      <c r="B39" s="415" t="s">
        <v>1185</v>
      </c>
      <c r="C39" s="415">
        <v>15</v>
      </c>
      <c r="D39" s="416">
        <v>16900</v>
      </c>
      <c r="E39" s="417">
        <v>35000</v>
      </c>
      <c r="L39" s="414" t="s">
        <v>1354</v>
      </c>
      <c r="M39" s="415" t="s">
        <v>1355</v>
      </c>
      <c r="N39" s="419" t="s">
        <v>389</v>
      </c>
      <c r="S39" s="414" t="s">
        <v>897</v>
      </c>
      <c r="T39" s="419" t="s">
        <v>895</v>
      </c>
    </row>
    <row r="40" spans="1:20" x14ac:dyDescent="0.25">
      <c r="A40" s="414" t="s">
        <v>1184</v>
      </c>
      <c r="B40" s="415" t="s">
        <v>1183</v>
      </c>
      <c r="C40" s="415">
        <v>60</v>
      </c>
      <c r="D40" s="416">
        <v>45500</v>
      </c>
      <c r="E40" s="417">
        <v>70000</v>
      </c>
      <c r="L40" s="414" t="s">
        <v>1403</v>
      </c>
      <c r="M40" s="415" t="s">
        <v>1404</v>
      </c>
      <c r="N40" s="419" t="s">
        <v>417</v>
      </c>
      <c r="S40" s="414" t="s">
        <v>909</v>
      </c>
      <c r="T40" s="419" t="s">
        <v>907</v>
      </c>
    </row>
    <row r="41" spans="1:20" x14ac:dyDescent="0.25">
      <c r="A41" s="414" t="s">
        <v>1182</v>
      </c>
      <c r="B41" s="415" t="s">
        <v>1181</v>
      </c>
      <c r="C41" s="415">
        <v>30</v>
      </c>
      <c r="D41" s="416">
        <v>51700</v>
      </c>
      <c r="E41" s="417">
        <v>85000</v>
      </c>
      <c r="L41" s="414" t="s">
        <v>1371</v>
      </c>
      <c r="M41" s="415" t="s">
        <v>1372</v>
      </c>
      <c r="N41" s="419" t="s">
        <v>389</v>
      </c>
      <c r="S41" s="414" t="s">
        <v>926</v>
      </c>
      <c r="T41" s="419" t="s">
        <v>258</v>
      </c>
    </row>
    <row r="42" spans="1:20" x14ac:dyDescent="0.25">
      <c r="A42" s="414" t="s">
        <v>1180</v>
      </c>
      <c r="B42" s="415" t="s">
        <v>1179</v>
      </c>
      <c r="C42" s="415">
        <v>45</v>
      </c>
      <c r="D42" s="416">
        <v>38900</v>
      </c>
      <c r="E42" s="417">
        <v>65000</v>
      </c>
      <c r="L42" s="414" t="s">
        <v>1383</v>
      </c>
      <c r="M42" s="415" t="s">
        <v>1384</v>
      </c>
      <c r="N42" s="419" t="s">
        <v>258</v>
      </c>
      <c r="S42" s="414" t="s">
        <v>669</v>
      </c>
      <c r="T42" s="419" t="s">
        <v>1467</v>
      </c>
    </row>
    <row r="43" spans="1:20" x14ac:dyDescent="0.25">
      <c r="A43" s="414" t="s">
        <v>1178</v>
      </c>
      <c r="B43" s="415" t="s">
        <v>1177</v>
      </c>
      <c r="C43" s="415">
        <v>15</v>
      </c>
      <c r="D43" s="416">
        <v>12800</v>
      </c>
      <c r="E43" s="417">
        <v>25000</v>
      </c>
      <c r="L43" s="414" t="s">
        <v>1380</v>
      </c>
      <c r="M43" s="415" t="s">
        <v>1048</v>
      </c>
      <c r="N43" s="419" t="s">
        <v>258</v>
      </c>
      <c r="S43" s="414" t="s">
        <v>935</v>
      </c>
      <c r="T43" s="419" t="s">
        <v>933</v>
      </c>
    </row>
    <row r="44" spans="1:20" x14ac:dyDescent="0.25">
      <c r="A44" s="414" t="s">
        <v>1176</v>
      </c>
      <c r="B44" s="415" t="s">
        <v>1175</v>
      </c>
      <c r="C44" s="415">
        <v>30</v>
      </c>
      <c r="D44" s="416">
        <v>64200</v>
      </c>
      <c r="E44" s="417">
        <v>90000</v>
      </c>
      <c r="L44" s="414" t="s">
        <v>1378</v>
      </c>
      <c r="M44" s="415" t="s">
        <v>1379</v>
      </c>
      <c r="N44" s="419" t="s">
        <v>258</v>
      </c>
      <c r="S44" s="414" t="s">
        <v>965</v>
      </c>
      <c r="T44" s="419" t="s">
        <v>281</v>
      </c>
    </row>
    <row r="45" spans="1:20" x14ac:dyDescent="0.25">
      <c r="A45" s="414" t="s">
        <v>1174</v>
      </c>
      <c r="B45" s="415" t="s">
        <v>1173</v>
      </c>
      <c r="C45" s="415">
        <v>45</v>
      </c>
      <c r="D45" s="416">
        <v>26700</v>
      </c>
      <c r="E45" s="417">
        <v>55000</v>
      </c>
      <c r="L45" s="414" t="s">
        <v>1422</v>
      </c>
      <c r="M45" s="415" t="s">
        <v>1423</v>
      </c>
      <c r="N45" s="419" t="s">
        <v>266</v>
      </c>
      <c r="S45" s="414" t="s">
        <v>968</v>
      </c>
      <c r="T45" s="419" t="s">
        <v>966</v>
      </c>
    </row>
    <row r="46" spans="1:20" x14ac:dyDescent="0.25">
      <c r="A46" s="414" t="s">
        <v>1172</v>
      </c>
      <c r="B46" s="415" t="s">
        <v>1171</v>
      </c>
      <c r="C46" s="415">
        <v>60</v>
      </c>
      <c r="D46" s="416">
        <v>9300</v>
      </c>
      <c r="E46" s="417">
        <v>20000</v>
      </c>
      <c r="L46" s="414" t="s">
        <v>1375</v>
      </c>
      <c r="M46" s="415" t="s">
        <v>412</v>
      </c>
      <c r="N46" s="419" t="s">
        <v>266</v>
      </c>
      <c r="S46" s="414" t="s">
        <v>989</v>
      </c>
      <c r="T46" s="419" t="s">
        <v>987</v>
      </c>
    </row>
    <row r="47" spans="1:20" x14ac:dyDescent="0.25">
      <c r="A47" s="414" t="s">
        <v>1170</v>
      </c>
      <c r="B47" s="415" t="s">
        <v>1169</v>
      </c>
      <c r="C47" s="415">
        <v>15</v>
      </c>
      <c r="D47" s="416">
        <v>31900</v>
      </c>
      <c r="E47" s="417">
        <v>60000</v>
      </c>
      <c r="L47" s="414" t="s">
        <v>1367</v>
      </c>
      <c r="M47" s="415" t="s">
        <v>1368</v>
      </c>
      <c r="N47" s="419" t="s">
        <v>247</v>
      </c>
      <c r="S47" s="414" t="s">
        <v>1003</v>
      </c>
      <c r="T47" s="419" t="s">
        <v>1001</v>
      </c>
    </row>
    <row r="48" spans="1:20" x14ac:dyDescent="0.25">
      <c r="A48" s="414" t="s">
        <v>1168</v>
      </c>
      <c r="B48" s="415" t="s">
        <v>1167</v>
      </c>
      <c r="C48" s="415">
        <v>30</v>
      </c>
      <c r="D48" s="416">
        <v>47500</v>
      </c>
      <c r="E48" s="417">
        <v>80000</v>
      </c>
      <c r="L48" s="414" t="s">
        <v>1421</v>
      </c>
      <c r="M48" s="415" t="s">
        <v>1054</v>
      </c>
      <c r="N48" s="419" t="s">
        <v>417</v>
      </c>
      <c r="S48" s="414" t="s">
        <v>1006</v>
      </c>
      <c r="T48" s="419" t="s">
        <v>1004</v>
      </c>
    </row>
    <row r="49" spans="1:20" x14ac:dyDescent="0.25">
      <c r="A49" s="414" t="s">
        <v>1166</v>
      </c>
      <c r="B49" s="415" t="s">
        <v>1165</v>
      </c>
      <c r="C49" s="415">
        <v>45</v>
      </c>
      <c r="D49" s="416">
        <v>15400</v>
      </c>
      <c r="E49" s="417">
        <v>35000</v>
      </c>
      <c r="L49" s="414" t="s">
        <v>1348</v>
      </c>
      <c r="M49" s="415" t="s">
        <v>1053</v>
      </c>
      <c r="N49" s="419" t="s">
        <v>389</v>
      </c>
      <c r="S49" s="414" t="s">
        <v>1012</v>
      </c>
      <c r="T49" s="419" t="s">
        <v>1471</v>
      </c>
    </row>
    <row r="50" spans="1:20" x14ac:dyDescent="0.25">
      <c r="A50" s="414" t="s">
        <v>1164</v>
      </c>
      <c r="B50" s="415" t="s">
        <v>1163</v>
      </c>
      <c r="C50" s="415">
        <v>60</v>
      </c>
      <c r="D50" s="416">
        <v>33600</v>
      </c>
      <c r="E50" s="417">
        <v>50000</v>
      </c>
      <c r="L50" s="414" t="s">
        <v>1374</v>
      </c>
      <c r="M50" s="415" t="s">
        <v>421</v>
      </c>
      <c r="N50" s="419" t="s">
        <v>417</v>
      </c>
      <c r="S50" s="414" t="s">
        <v>1027</v>
      </c>
      <c r="T50" s="419" t="s">
        <v>1468</v>
      </c>
    </row>
    <row r="51" spans="1:20" x14ac:dyDescent="0.25">
      <c r="A51" s="414" t="s">
        <v>1162</v>
      </c>
      <c r="B51" s="415" t="s">
        <v>1161</v>
      </c>
      <c r="C51" s="415">
        <v>30</v>
      </c>
      <c r="D51" s="416">
        <v>58900</v>
      </c>
      <c r="E51" s="417">
        <v>90000</v>
      </c>
      <c r="L51" s="420" t="s">
        <v>1391</v>
      </c>
      <c r="M51" s="421" t="s">
        <v>1049</v>
      </c>
      <c r="N51" s="423" t="s">
        <v>417</v>
      </c>
      <c r="S51" s="414" t="s">
        <v>1044</v>
      </c>
      <c r="T51" s="419" t="s">
        <v>266</v>
      </c>
    </row>
    <row r="52" spans="1:20" x14ac:dyDescent="0.25">
      <c r="A52" s="414" t="s">
        <v>1160</v>
      </c>
      <c r="B52" s="415" t="s">
        <v>1159</v>
      </c>
      <c r="C52" s="415">
        <v>45</v>
      </c>
      <c r="D52" s="416">
        <v>21200</v>
      </c>
      <c r="E52" s="417">
        <v>40000</v>
      </c>
      <c r="L52" s="420" t="s">
        <v>1428</v>
      </c>
      <c r="M52" s="421" t="s">
        <v>80</v>
      </c>
      <c r="N52" s="423" t="s">
        <v>258</v>
      </c>
      <c r="S52" s="420" t="s">
        <v>1046</v>
      </c>
      <c r="T52" s="423" t="s">
        <v>236</v>
      </c>
    </row>
    <row r="53" spans="1:20" x14ac:dyDescent="0.25">
      <c r="A53" s="414" t="s">
        <v>1158</v>
      </c>
      <c r="B53" s="415" t="s">
        <v>1157</v>
      </c>
      <c r="C53" s="415">
        <v>60</v>
      </c>
      <c r="D53" s="416">
        <v>70000</v>
      </c>
      <c r="E53" s="417">
        <v>100000</v>
      </c>
    </row>
    <row r="54" spans="1:20" x14ac:dyDescent="0.25">
      <c r="A54" s="414" t="s">
        <v>1156</v>
      </c>
      <c r="B54" s="415" t="s">
        <v>1155</v>
      </c>
      <c r="C54" s="415">
        <v>15</v>
      </c>
      <c r="D54" s="416">
        <v>8400</v>
      </c>
      <c r="E54" s="417">
        <v>25000</v>
      </c>
    </row>
    <row r="55" spans="1:20" x14ac:dyDescent="0.25">
      <c r="A55" s="414" t="s">
        <v>1154</v>
      </c>
      <c r="B55" s="415" t="s">
        <v>1153</v>
      </c>
      <c r="C55" s="415">
        <v>30</v>
      </c>
      <c r="D55" s="416">
        <v>39500</v>
      </c>
      <c r="E55" s="417">
        <v>70000</v>
      </c>
    </row>
    <row r="56" spans="1:20" x14ac:dyDescent="0.25">
      <c r="A56" s="414" t="s">
        <v>1152</v>
      </c>
      <c r="B56" s="415" t="s">
        <v>1151</v>
      </c>
      <c r="C56" s="415">
        <v>45</v>
      </c>
      <c r="D56" s="416">
        <v>44900</v>
      </c>
      <c r="E56" s="417">
        <v>65000</v>
      </c>
    </row>
    <row r="57" spans="1:20" x14ac:dyDescent="0.25">
      <c r="A57" s="414" t="s">
        <v>1150</v>
      </c>
      <c r="B57" s="415" t="s">
        <v>1149</v>
      </c>
      <c r="C57" s="415">
        <v>60</v>
      </c>
      <c r="D57" s="416">
        <v>15700</v>
      </c>
      <c r="E57" s="417">
        <v>30000</v>
      </c>
    </row>
    <row r="58" spans="1:20" x14ac:dyDescent="0.25">
      <c r="A58" s="414" t="s">
        <v>1148</v>
      </c>
      <c r="B58" s="415" t="s">
        <v>1147</v>
      </c>
      <c r="C58" s="415">
        <v>30</v>
      </c>
      <c r="D58" s="416">
        <v>59600</v>
      </c>
      <c r="E58" s="417">
        <v>85000</v>
      </c>
    </row>
    <row r="59" spans="1:20" x14ac:dyDescent="0.25">
      <c r="A59" s="414" t="s">
        <v>1146</v>
      </c>
      <c r="B59" s="415" t="s">
        <v>1145</v>
      </c>
      <c r="C59" s="415">
        <v>15</v>
      </c>
      <c r="D59" s="416">
        <v>22300</v>
      </c>
      <c r="E59" s="417">
        <v>45000</v>
      </c>
    </row>
    <row r="60" spans="1:20" x14ac:dyDescent="0.25">
      <c r="A60" s="414" t="s">
        <v>1144</v>
      </c>
      <c r="B60" s="415" t="s">
        <v>1143</v>
      </c>
      <c r="C60" s="415">
        <v>30</v>
      </c>
      <c r="D60" s="416">
        <v>18700</v>
      </c>
      <c r="E60" s="417">
        <v>35000</v>
      </c>
    </row>
    <row r="61" spans="1:20" x14ac:dyDescent="0.25">
      <c r="A61" s="414" t="s">
        <v>1142</v>
      </c>
      <c r="B61" s="415" t="s">
        <v>1141</v>
      </c>
      <c r="C61" s="415">
        <v>45</v>
      </c>
      <c r="D61" s="416">
        <v>28400</v>
      </c>
      <c r="E61" s="417">
        <v>55000</v>
      </c>
    </row>
    <row r="62" spans="1:20" x14ac:dyDescent="0.25">
      <c r="A62" s="414" t="s">
        <v>1140</v>
      </c>
      <c r="B62" s="415" t="s">
        <v>1139</v>
      </c>
      <c r="C62" s="415">
        <v>60</v>
      </c>
      <c r="D62" s="416">
        <v>75900</v>
      </c>
      <c r="E62" s="417">
        <v>110000</v>
      </c>
    </row>
    <row r="63" spans="1:20" x14ac:dyDescent="0.25">
      <c r="A63" s="414" t="s">
        <v>1138</v>
      </c>
      <c r="B63" s="415" t="s">
        <v>1137</v>
      </c>
      <c r="C63" s="415">
        <v>30</v>
      </c>
      <c r="D63" s="416">
        <v>41500</v>
      </c>
      <c r="E63" s="417">
        <v>70000</v>
      </c>
    </row>
    <row r="64" spans="1:20" x14ac:dyDescent="0.25">
      <c r="A64" s="414" t="s">
        <v>1136</v>
      </c>
      <c r="B64" s="415" t="s">
        <v>1135</v>
      </c>
      <c r="C64" s="415">
        <v>45</v>
      </c>
      <c r="D64" s="416">
        <v>16800</v>
      </c>
      <c r="E64" s="417">
        <v>40000</v>
      </c>
    </row>
    <row r="65" spans="1:5" x14ac:dyDescent="0.25">
      <c r="A65" s="414" t="s">
        <v>1134</v>
      </c>
      <c r="B65" s="415" t="s">
        <v>1133</v>
      </c>
      <c r="C65" s="415">
        <v>15</v>
      </c>
      <c r="D65" s="416">
        <v>7600</v>
      </c>
      <c r="E65" s="417">
        <v>20000</v>
      </c>
    </row>
    <row r="66" spans="1:5" x14ac:dyDescent="0.25">
      <c r="A66" s="414" t="s">
        <v>1132</v>
      </c>
      <c r="B66" s="415" t="s">
        <v>1131</v>
      </c>
      <c r="C66" s="415">
        <v>60</v>
      </c>
      <c r="D66" s="416">
        <v>66900</v>
      </c>
      <c r="E66" s="417">
        <v>95000</v>
      </c>
    </row>
    <row r="67" spans="1:5" x14ac:dyDescent="0.25">
      <c r="A67" s="414" t="s">
        <v>1130</v>
      </c>
      <c r="B67" s="415" t="s">
        <v>1129</v>
      </c>
      <c r="C67" s="415">
        <v>30</v>
      </c>
      <c r="D67" s="416">
        <v>25800</v>
      </c>
      <c r="E67" s="417">
        <v>50000</v>
      </c>
    </row>
    <row r="68" spans="1:5" x14ac:dyDescent="0.25">
      <c r="A68" s="414" t="s">
        <v>1128</v>
      </c>
      <c r="B68" s="415" t="s">
        <v>1127</v>
      </c>
      <c r="C68" s="415">
        <v>45</v>
      </c>
      <c r="D68" s="416">
        <v>34100</v>
      </c>
      <c r="E68" s="417">
        <v>60000</v>
      </c>
    </row>
    <row r="69" spans="1:5" x14ac:dyDescent="0.25">
      <c r="A69" s="414" t="s">
        <v>1126</v>
      </c>
      <c r="B69" s="415" t="s">
        <v>1125</v>
      </c>
      <c r="C69" s="415">
        <v>60</v>
      </c>
      <c r="D69" s="416">
        <v>57600</v>
      </c>
      <c r="E69" s="417">
        <v>90000</v>
      </c>
    </row>
    <row r="70" spans="1:5" x14ac:dyDescent="0.25">
      <c r="A70" s="414" t="s">
        <v>1124</v>
      </c>
      <c r="B70" s="415" t="s">
        <v>1123</v>
      </c>
      <c r="C70" s="415">
        <v>15</v>
      </c>
      <c r="D70" s="416">
        <v>13400</v>
      </c>
      <c r="E70" s="417">
        <v>25000</v>
      </c>
    </row>
    <row r="71" spans="1:5" x14ac:dyDescent="0.25">
      <c r="A71" s="414" t="s">
        <v>1122</v>
      </c>
      <c r="B71" s="415" t="s">
        <v>1121</v>
      </c>
      <c r="C71" s="415">
        <v>30</v>
      </c>
      <c r="D71" s="416">
        <v>51900</v>
      </c>
      <c r="E71" s="417">
        <v>80000</v>
      </c>
    </row>
    <row r="72" spans="1:5" x14ac:dyDescent="0.25">
      <c r="A72" s="414" t="s">
        <v>1120</v>
      </c>
      <c r="B72" s="415" t="s">
        <v>1119</v>
      </c>
      <c r="C72" s="415">
        <v>45</v>
      </c>
      <c r="D72" s="416">
        <v>62700</v>
      </c>
      <c r="E72" s="417">
        <v>95000</v>
      </c>
    </row>
    <row r="73" spans="1:5" x14ac:dyDescent="0.25">
      <c r="A73" s="414" t="s">
        <v>1118</v>
      </c>
      <c r="B73" s="415" t="s">
        <v>1117</v>
      </c>
      <c r="C73" s="415">
        <v>60</v>
      </c>
      <c r="D73" s="416">
        <v>19800</v>
      </c>
      <c r="E73" s="417">
        <v>45000</v>
      </c>
    </row>
    <row r="74" spans="1:5" x14ac:dyDescent="0.25">
      <c r="A74" s="414" t="s">
        <v>1116</v>
      </c>
      <c r="B74" s="415" t="s">
        <v>1115</v>
      </c>
      <c r="C74" s="415">
        <v>15</v>
      </c>
      <c r="D74" s="416">
        <v>9900</v>
      </c>
      <c r="E74" s="417">
        <v>20000</v>
      </c>
    </row>
    <row r="75" spans="1:5" x14ac:dyDescent="0.25">
      <c r="A75" s="414" t="s">
        <v>1114</v>
      </c>
      <c r="B75" s="415" t="s">
        <v>1113</v>
      </c>
      <c r="C75" s="415">
        <v>30</v>
      </c>
      <c r="D75" s="416">
        <v>46700</v>
      </c>
      <c r="E75" s="417">
        <v>75000</v>
      </c>
    </row>
    <row r="76" spans="1:5" x14ac:dyDescent="0.25">
      <c r="A76" s="414" t="s">
        <v>1112</v>
      </c>
      <c r="B76" s="415" t="s">
        <v>1111</v>
      </c>
      <c r="C76" s="415">
        <v>45</v>
      </c>
      <c r="D76" s="416">
        <v>35600</v>
      </c>
      <c r="E76" s="417">
        <v>65000</v>
      </c>
    </row>
    <row r="77" spans="1:5" x14ac:dyDescent="0.25">
      <c r="A77" s="414" t="s">
        <v>1110</v>
      </c>
      <c r="B77" s="415" t="s">
        <v>1109</v>
      </c>
      <c r="C77" s="415">
        <v>60</v>
      </c>
      <c r="D77" s="416">
        <v>63400</v>
      </c>
      <c r="E77" s="417">
        <v>90000</v>
      </c>
    </row>
    <row r="78" spans="1:5" x14ac:dyDescent="0.25">
      <c r="A78" s="414" t="s">
        <v>1108</v>
      </c>
      <c r="B78" s="415" t="s">
        <v>1107</v>
      </c>
      <c r="C78" s="415">
        <v>15</v>
      </c>
      <c r="D78" s="416">
        <v>14300</v>
      </c>
      <c r="E78" s="417">
        <v>30000</v>
      </c>
    </row>
    <row r="79" spans="1:5" x14ac:dyDescent="0.25">
      <c r="A79" s="414" t="s">
        <v>1106</v>
      </c>
      <c r="B79" s="415" t="s">
        <v>1105</v>
      </c>
      <c r="C79" s="415">
        <v>30</v>
      </c>
      <c r="D79" s="416">
        <v>25600</v>
      </c>
      <c r="E79" s="417">
        <v>55000</v>
      </c>
    </row>
    <row r="80" spans="1:5" x14ac:dyDescent="0.25">
      <c r="A80" s="414" t="s">
        <v>1104</v>
      </c>
      <c r="B80" s="415" t="s">
        <v>1103</v>
      </c>
      <c r="C80" s="415">
        <v>45</v>
      </c>
      <c r="D80" s="416">
        <v>37200</v>
      </c>
      <c r="E80" s="417">
        <v>65000</v>
      </c>
    </row>
    <row r="81" spans="1:5" x14ac:dyDescent="0.25">
      <c r="A81" s="414" t="s">
        <v>1102</v>
      </c>
      <c r="B81" s="415" t="s">
        <v>1101</v>
      </c>
      <c r="C81" s="415">
        <v>60</v>
      </c>
      <c r="D81" s="416">
        <v>21900</v>
      </c>
      <c r="E81" s="417">
        <v>40000</v>
      </c>
    </row>
    <row r="82" spans="1:5" x14ac:dyDescent="0.25">
      <c r="A82" s="414" t="s">
        <v>1100</v>
      </c>
      <c r="B82" s="415" t="s">
        <v>1099</v>
      </c>
      <c r="C82" s="415">
        <v>15</v>
      </c>
      <c r="D82" s="416">
        <v>10700</v>
      </c>
      <c r="E82" s="417">
        <v>25000</v>
      </c>
    </row>
    <row r="83" spans="1:5" x14ac:dyDescent="0.25">
      <c r="A83" s="414" t="s">
        <v>1098</v>
      </c>
      <c r="B83" s="415" t="s">
        <v>1097</v>
      </c>
      <c r="C83" s="415">
        <v>30</v>
      </c>
      <c r="D83" s="416">
        <v>44800</v>
      </c>
      <c r="E83" s="417">
        <v>75000</v>
      </c>
    </row>
    <row r="84" spans="1:5" x14ac:dyDescent="0.25">
      <c r="A84" s="414" t="s">
        <v>1096</v>
      </c>
      <c r="B84" s="415" t="s">
        <v>1095</v>
      </c>
      <c r="C84" s="415">
        <v>45</v>
      </c>
      <c r="D84" s="416">
        <v>56900</v>
      </c>
      <c r="E84" s="417">
        <v>85000</v>
      </c>
    </row>
    <row r="85" spans="1:5" x14ac:dyDescent="0.25">
      <c r="A85" s="414" t="s">
        <v>1094</v>
      </c>
      <c r="B85" s="415" t="s">
        <v>1093</v>
      </c>
      <c r="C85" s="415">
        <v>60</v>
      </c>
      <c r="D85" s="416">
        <v>16400</v>
      </c>
      <c r="E85" s="417">
        <v>35000</v>
      </c>
    </row>
    <row r="86" spans="1:5" x14ac:dyDescent="0.25">
      <c r="A86" s="414" t="s">
        <v>1092</v>
      </c>
      <c r="B86" s="415" t="s">
        <v>1091</v>
      </c>
      <c r="C86" s="415">
        <v>15</v>
      </c>
      <c r="D86" s="416">
        <v>32200</v>
      </c>
      <c r="E86" s="417">
        <v>55000</v>
      </c>
    </row>
    <row r="87" spans="1:5" x14ac:dyDescent="0.25">
      <c r="A87" s="414" t="s">
        <v>1090</v>
      </c>
      <c r="B87" s="415" t="s">
        <v>1089</v>
      </c>
      <c r="C87" s="415">
        <v>30</v>
      </c>
      <c r="D87" s="416">
        <v>53700</v>
      </c>
      <c r="E87" s="417">
        <v>90000</v>
      </c>
    </row>
    <row r="88" spans="1:5" x14ac:dyDescent="0.25">
      <c r="A88" s="414" t="s">
        <v>1088</v>
      </c>
      <c r="B88" s="415" t="s">
        <v>1087</v>
      </c>
      <c r="C88" s="415">
        <v>45</v>
      </c>
      <c r="D88" s="416">
        <v>40600</v>
      </c>
      <c r="E88" s="417">
        <v>70000</v>
      </c>
    </row>
    <row r="89" spans="1:5" x14ac:dyDescent="0.25">
      <c r="A89" s="414" t="s">
        <v>1086</v>
      </c>
      <c r="B89" s="415" t="s">
        <v>1085</v>
      </c>
      <c r="C89" s="415">
        <v>60</v>
      </c>
      <c r="D89" s="416">
        <v>24800</v>
      </c>
      <c r="E89" s="417">
        <v>50000</v>
      </c>
    </row>
    <row r="90" spans="1:5" x14ac:dyDescent="0.25">
      <c r="A90" s="414" t="s">
        <v>1084</v>
      </c>
      <c r="B90" s="415" t="s">
        <v>1083</v>
      </c>
      <c r="C90" s="415">
        <v>15</v>
      </c>
      <c r="D90" s="416">
        <v>11500</v>
      </c>
      <c r="E90" s="417">
        <v>30000</v>
      </c>
    </row>
    <row r="91" spans="1:5" x14ac:dyDescent="0.25">
      <c r="A91" s="414" t="s">
        <v>1082</v>
      </c>
      <c r="B91" s="415" t="s">
        <v>1081</v>
      </c>
      <c r="C91" s="415">
        <v>30</v>
      </c>
      <c r="D91" s="416">
        <v>62800</v>
      </c>
      <c r="E91" s="417">
        <v>95000</v>
      </c>
    </row>
    <row r="92" spans="1:5" x14ac:dyDescent="0.25">
      <c r="A92" s="414" t="s">
        <v>1080</v>
      </c>
      <c r="B92" s="415" t="s">
        <v>1079</v>
      </c>
      <c r="C92" s="415">
        <v>45</v>
      </c>
      <c r="D92" s="416">
        <v>28700</v>
      </c>
      <c r="E92" s="417">
        <v>55000</v>
      </c>
    </row>
    <row r="93" spans="1:5" x14ac:dyDescent="0.25">
      <c r="A93" s="414" t="s">
        <v>1078</v>
      </c>
      <c r="B93" s="415" t="s">
        <v>1077</v>
      </c>
      <c r="C93" s="415">
        <v>60</v>
      </c>
      <c r="D93" s="416">
        <v>49900</v>
      </c>
      <c r="E93" s="417">
        <v>75000</v>
      </c>
    </row>
    <row r="94" spans="1:5" x14ac:dyDescent="0.25">
      <c r="A94" s="414" t="s">
        <v>1076</v>
      </c>
      <c r="B94" s="415" t="s">
        <v>1075</v>
      </c>
      <c r="C94" s="415">
        <v>15</v>
      </c>
      <c r="D94" s="416">
        <v>17800</v>
      </c>
      <c r="E94" s="417">
        <v>40000</v>
      </c>
    </row>
    <row r="95" spans="1:5" x14ac:dyDescent="0.25">
      <c r="A95" s="414" t="s">
        <v>1074</v>
      </c>
      <c r="B95" s="415" t="s">
        <v>1073</v>
      </c>
      <c r="C95" s="415">
        <v>30</v>
      </c>
      <c r="D95" s="416">
        <v>38400</v>
      </c>
      <c r="E95" s="417">
        <v>65000</v>
      </c>
    </row>
    <row r="96" spans="1:5" x14ac:dyDescent="0.25">
      <c r="A96" s="414" t="s">
        <v>1072</v>
      </c>
      <c r="B96" s="415" t="s">
        <v>1071</v>
      </c>
      <c r="C96" s="415">
        <v>45</v>
      </c>
      <c r="D96" s="416">
        <v>23600</v>
      </c>
      <c r="E96" s="417">
        <v>50000</v>
      </c>
    </row>
    <row r="97" spans="1:5" x14ac:dyDescent="0.25">
      <c r="A97" s="414" t="s">
        <v>1070</v>
      </c>
      <c r="B97" s="415" t="s">
        <v>1069</v>
      </c>
      <c r="C97" s="415">
        <v>60</v>
      </c>
      <c r="D97" s="416">
        <v>71500</v>
      </c>
      <c r="E97" s="417">
        <v>100000</v>
      </c>
    </row>
    <row r="98" spans="1:5" x14ac:dyDescent="0.25">
      <c r="A98" s="414" t="s">
        <v>1068</v>
      </c>
      <c r="B98" s="415" t="s">
        <v>1067</v>
      </c>
      <c r="C98" s="415">
        <v>15</v>
      </c>
      <c r="D98" s="416">
        <v>9300</v>
      </c>
      <c r="E98" s="417">
        <v>25000</v>
      </c>
    </row>
    <row r="99" spans="1:5" x14ac:dyDescent="0.25">
      <c r="A99" s="414" t="s">
        <v>1066</v>
      </c>
      <c r="B99" s="415" t="s">
        <v>1065</v>
      </c>
      <c r="C99" s="415">
        <v>30</v>
      </c>
      <c r="D99" s="416">
        <v>46100</v>
      </c>
      <c r="E99" s="417">
        <v>80000</v>
      </c>
    </row>
    <row r="100" spans="1:5" x14ac:dyDescent="0.25">
      <c r="A100" s="414" t="s">
        <v>1064</v>
      </c>
      <c r="B100" s="415" t="s">
        <v>1063</v>
      </c>
      <c r="C100" s="415">
        <v>45</v>
      </c>
      <c r="D100" s="416">
        <v>33200</v>
      </c>
      <c r="E100" s="417">
        <v>60000</v>
      </c>
    </row>
    <row r="101" spans="1:5" x14ac:dyDescent="0.25">
      <c r="A101" s="420" t="s">
        <v>1062</v>
      </c>
      <c r="B101" s="421" t="s">
        <v>1061</v>
      </c>
      <c r="C101" s="421">
        <v>60</v>
      </c>
      <c r="D101" s="424">
        <v>41600</v>
      </c>
      <c r="E101" s="425">
        <v>75000</v>
      </c>
    </row>
  </sheetData>
  <phoneticPr fontId="28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2C4A-CD28-4346-8F13-457C6EE5C966}">
  <dimension ref="B2:O11"/>
  <sheetViews>
    <sheetView showGridLines="0" workbookViewId="0">
      <selection activeCell="J6" sqref="J6:J11"/>
    </sheetView>
  </sheetViews>
  <sheetFormatPr defaultRowHeight="15" x14ac:dyDescent="0.25"/>
  <cols>
    <col min="2" max="2" width="15" bestFit="1" customWidth="1"/>
    <col min="3" max="3" width="12.42578125" bestFit="1" customWidth="1"/>
    <col min="4" max="4" width="14.42578125" bestFit="1" customWidth="1"/>
    <col min="5" max="5" width="13.7109375" bestFit="1" customWidth="1"/>
    <col min="6" max="6" width="14.42578125" bestFit="1" customWidth="1"/>
    <col min="7" max="7" width="16.42578125" bestFit="1" customWidth="1"/>
  </cols>
  <sheetData>
    <row r="2" spans="2:15" x14ac:dyDescent="0.25">
      <c r="B2" t="s">
        <v>7</v>
      </c>
      <c r="C2" t="s">
        <v>19</v>
      </c>
      <c r="D2" t="s">
        <v>22</v>
      </c>
      <c r="E2" t="s">
        <v>26</v>
      </c>
      <c r="F2" t="s">
        <v>29</v>
      </c>
      <c r="G2" t="s">
        <v>32</v>
      </c>
      <c r="J2" t="s">
        <v>7</v>
      </c>
      <c r="K2" t="s">
        <v>19</v>
      </c>
      <c r="L2" t="s">
        <v>22</v>
      </c>
      <c r="M2" t="s">
        <v>26</v>
      </c>
      <c r="N2" t="s">
        <v>29</v>
      </c>
      <c r="O2" t="s">
        <v>32</v>
      </c>
    </row>
    <row r="3" spans="2:15" x14ac:dyDescent="0.25">
      <c r="B3" t="str">
        <f>Overview!D6</f>
        <v>QUO10001</v>
      </c>
      <c r="C3" s="94">
        <f>Overview!L9</f>
        <v>950000</v>
      </c>
      <c r="D3" s="94">
        <f>Overview!L11</f>
        <v>850000</v>
      </c>
      <c r="E3" s="94">
        <f>Overview!L13</f>
        <v>100000</v>
      </c>
      <c r="F3" s="94">
        <f>Overview!L15</f>
        <v>7644.2307692307713</v>
      </c>
      <c r="G3" s="94">
        <f>Overview!L17</f>
        <v>92355.769230769234</v>
      </c>
    </row>
    <row r="6" spans="2:15" x14ac:dyDescent="0.25">
      <c r="J6" t="s">
        <v>7</v>
      </c>
    </row>
    <row r="7" spans="2:15" x14ac:dyDescent="0.25">
      <c r="J7" t="s">
        <v>19</v>
      </c>
    </row>
    <row r="8" spans="2:15" x14ac:dyDescent="0.25">
      <c r="J8" t="s">
        <v>22</v>
      </c>
    </row>
    <row r="9" spans="2:15" x14ac:dyDescent="0.25">
      <c r="J9" t="s">
        <v>26</v>
      </c>
    </row>
    <row r="10" spans="2:15" x14ac:dyDescent="0.25">
      <c r="J10" t="s">
        <v>29</v>
      </c>
    </row>
    <row r="11" spans="2:15" x14ac:dyDescent="0.25">
      <c r="J1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536E8456EDFF418392FA1E53E254BF" ma:contentTypeVersion="18" ma:contentTypeDescription="Create a new document." ma:contentTypeScope="" ma:versionID="2bcffa552dff2fc0d7f59f1ea31737ff">
  <xsd:schema xmlns:xsd="http://www.w3.org/2001/XMLSchema" xmlns:xs="http://www.w3.org/2001/XMLSchema" xmlns:p="http://schemas.microsoft.com/office/2006/metadata/properties" xmlns:ns2="c3b887b0-ae37-4e37-8f3c-c969a88048e9" xmlns:ns3="7728fd35-845b-462b-86d8-9c243a2cf38c" targetNamespace="http://schemas.microsoft.com/office/2006/metadata/properties" ma:root="true" ma:fieldsID="4af6def674845d79fa3f98e5ce33e5c7" ns2:_="" ns3:_="">
    <xsd:import namespace="c3b887b0-ae37-4e37-8f3c-c969a88048e9"/>
    <xsd:import namespace="7728fd35-845b-462b-86d8-9c243a2cf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887b0-ae37-4e37-8f3c-c969a8804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d4014e4-4e0a-4d96-bdf7-b69ed77b4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fd35-845b-462b-86d8-9c243a2cf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3c268ff-10a3-44ea-8425-dfdfdad3ce6f}" ma:internalName="TaxCatchAll" ma:showField="CatchAllData" ma:web="7728fd35-845b-462b-86d8-9c243a2cf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8fd35-845b-462b-86d8-9c243a2cf38c" xsi:nil="true"/>
    <lcf76f155ced4ddcb4097134ff3c332f xmlns="c3b887b0-ae37-4e37-8f3c-c969a88048e9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A5476E78-0BD7-4814-9D9A-92E384D31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b887b0-ae37-4e37-8f3c-c969a88048e9"/>
    <ds:schemaRef ds:uri="7728fd35-845b-462b-86d8-9c243a2cf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6A427D-EB28-4705-9650-CF4737FCE6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921BA2-277F-4558-8459-2EF185E9072B}">
  <ds:schemaRefs>
    <ds:schemaRef ds:uri="http://schemas.microsoft.com/office/2006/metadata/properties"/>
    <ds:schemaRef ds:uri="http://schemas.microsoft.com/office/infopath/2007/PartnerControls"/>
    <ds:schemaRef ds:uri="7728fd35-845b-462b-86d8-9c243a2cf38c"/>
    <ds:schemaRef ds:uri="c3b887b0-ae37-4e37-8f3c-c969a88048e9"/>
  </ds:schemaRefs>
</ds:datastoreItem>
</file>

<file path=customXml/itemProps4.xml><?xml version="1.0" encoding="utf-8"?>
<ds:datastoreItem xmlns:ds="http://schemas.openxmlformats.org/officeDocument/2006/customXml" ds:itemID="{5305B561-BB05-47BC-A300-51A4588FAF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HeadingPairs>
  <TitlesOfParts>
    <vt:vector size="39" baseType="lpstr">
      <vt:lpstr>Overview</vt:lpstr>
      <vt:lpstr>Stock Cost</vt:lpstr>
      <vt:lpstr>Transport Cost</vt:lpstr>
      <vt:lpstr>Ad Hoc Cost</vt:lpstr>
      <vt:lpstr>Sales Tbls - One Prod</vt:lpstr>
      <vt:lpstr>Cash Flow</vt:lpstr>
      <vt:lpstr>Quote_sgl</vt:lpstr>
      <vt:lpstr>Quo (Sgl) Prod</vt:lpstr>
      <vt:lpstr>Sheet4</vt:lpstr>
      <vt:lpstr>Data Lists</vt:lpstr>
      <vt:lpstr>Data Validation</vt:lpstr>
      <vt:lpstr>Sheet1</vt:lpstr>
      <vt:lpstr>Sheet3</vt:lpstr>
      <vt:lpstr>Ad_hoc_costs</vt:lpstr>
      <vt:lpstr>ad_hoc_costs_all</vt:lpstr>
      <vt:lpstr>Ad_hoc_costs_mult</vt:lpstr>
      <vt:lpstr>ad_hoc_costs_mult_all</vt:lpstr>
      <vt:lpstr>Cities</vt:lpstr>
      <vt:lpstr>Client</vt:lpstr>
      <vt:lpstr>countries</vt:lpstr>
      <vt:lpstr>currency</vt:lpstr>
      <vt:lpstr>currency_mult</vt:lpstr>
      <vt:lpstr>deliv_loc_list</vt:lpstr>
      <vt:lpstr>delive_mult</vt:lpstr>
      <vt:lpstr>INCO_list</vt:lpstr>
      <vt:lpstr>Inco_mult</vt:lpstr>
      <vt:lpstr>Locations</vt:lpstr>
      <vt:lpstr>month_del</vt:lpstr>
      <vt:lpstr>pack</vt:lpstr>
      <vt:lpstr>'Quo (Sgl) Prod'!Print_Area</vt:lpstr>
      <vt:lpstr>Product</vt:lpstr>
      <vt:lpstr>Quote_Choice</vt:lpstr>
      <vt:lpstr>sales_mult</vt:lpstr>
      <vt:lpstr>sales_rep_list</vt:lpstr>
      <vt:lpstr>transp</vt:lpstr>
      <vt:lpstr>two_dig</vt:lpstr>
      <vt:lpstr>uom_list</vt:lpstr>
      <vt:lpstr>uom_mult</vt:lpstr>
      <vt:lpstr>yn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Earle</dc:creator>
  <cp:keywords/>
  <dc:description/>
  <cp:lastModifiedBy>Andrew Earle</cp:lastModifiedBy>
  <cp:revision/>
  <dcterms:created xsi:type="dcterms:W3CDTF">2024-02-22T09:05:44Z</dcterms:created>
  <dcterms:modified xsi:type="dcterms:W3CDTF">2025-11-07T10:39:17Z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WorkbookGuid">
    <vt:lpwstr>6621b1fa-2519-4841-90e8-139cfea77b9d</vt:lpwstr>
  </property>
  <property fmtid="{D5CDD505-2E9C-101B-9397-08002B2CF9AE}" pid="4" name="ContentTypeId">
    <vt:lpwstr>0x010100F6536E8456EDFF418392FA1E53E254BF</vt:lpwstr>
  </property>
</Properties>
</file>